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hme\Desktop\__importlar\"/>
    </mc:Choice>
  </mc:AlternateContent>
  <xr:revisionPtr revIDLastSave="0" documentId="13_ncr:1_{A3D81725-0A46-49D8-B7DE-DC33AE7DFF2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çıklama" sheetId="1" r:id="rId1"/>
    <sheet name="Fatura İşlemler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2" i="2"/>
  <c r="O28" i="2"/>
  <c r="O32" i="2"/>
  <c r="O33" i="2"/>
  <c r="O34" i="2"/>
  <c r="O44" i="2"/>
  <c r="O48" i="2"/>
  <c r="O49" i="2"/>
  <c r="O76" i="2"/>
  <c r="O80" i="2"/>
  <c r="O81" i="2"/>
  <c r="O92" i="2"/>
  <c r="O96" i="2"/>
  <c r="O97" i="2"/>
  <c r="O98" i="2"/>
  <c r="O108" i="2"/>
  <c r="O113" i="2"/>
  <c r="O114" i="2"/>
  <c r="O124" i="2"/>
  <c r="O128" i="2"/>
  <c r="O129" i="2"/>
  <c r="O130" i="2"/>
  <c r="N3" i="2"/>
  <c r="O3" i="2" s="1"/>
  <c r="N4" i="2"/>
  <c r="O4" i="2" s="1"/>
  <c r="N5" i="2"/>
  <c r="O5" i="2" s="1"/>
  <c r="N6" i="2"/>
  <c r="O6" i="2" s="1"/>
  <c r="N7" i="2"/>
  <c r="O7" i="2" s="1"/>
  <c r="N8" i="2"/>
  <c r="O8" i="2" s="1"/>
  <c r="N9" i="2"/>
  <c r="O9" i="2" s="1"/>
  <c r="N10" i="2"/>
  <c r="O10" i="2" s="1"/>
  <c r="N11" i="2"/>
  <c r="O11" i="2" s="1"/>
  <c r="N12" i="2"/>
  <c r="O12" i="2" s="1"/>
  <c r="N13" i="2"/>
  <c r="O13" i="2" s="1"/>
  <c r="N14" i="2"/>
  <c r="O14" i="2" s="1"/>
  <c r="N15" i="2"/>
  <c r="O15" i="2" s="1"/>
  <c r="N16" i="2"/>
  <c r="O16" i="2" s="1"/>
  <c r="N17" i="2"/>
  <c r="O17" i="2" s="1"/>
  <c r="N18" i="2"/>
  <c r="O18" i="2" s="1"/>
  <c r="N19" i="2"/>
  <c r="O19" i="2" s="1"/>
  <c r="N20" i="2"/>
  <c r="O20" i="2" s="1"/>
  <c r="N21" i="2"/>
  <c r="O21" i="2" s="1"/>
  <c r="N22" i="2"/>
  <c r="O22" i="2" s="1"/>
  <c r="N23" i="2"/>
  <c r="O23" i="2" s="1"/>
  <c r="N24" i="2"/>
  <c r="O24" i="2" s="1"/>
  <c r="N25" i="2"/>
  <c r="O25" i="2" s="1"/>
  <c r="N26" i="2"/>
  <c r="O26" i="2" s="1"/>
  <c r="N27" i="2"/>
  <c r="O27" i="2" s="1"/>
  <c r="N28" i="2"/>
  <c r="N29" i="2"/>
  <c r="O29" i="2" s="1"/>
  <c r="N30" i="2"/>
  <c r="O30" i="2" s="1"/>
  <c r="N31" i="2"/>
  <c r="O31" i="2" s="1"/>
  <c r="N32" i="2"/>
  <c r="N33" i="2"/>
  <c r="N34" i="2"/>
  <c r="N35" i="2"/>
  <c r="O35" i="2" s="1"/>
  <c r="N36" i="2"/>
  <c r="O36" i="2" s="1"/>
  <c r="N37" i="2"/>
  <c r="O37" i="2" s="1"/>
  <c r="N38" i="2"/>
  <c r="O38" i="2" s="1"/>
  <c r="N39" i="2"/>
  <c r="O39" i="2" s="1"/>
  <c r="N40" i="2"/>
  <c r="O40" i="2" s="1"/>
  <c r="N41" i="2"/>
  <c r="O41" i="2" s="1"/>
  <c r="N42" i="2"/>
  <c r="O42" i="2" s="1"/>
  <c r="N43" i="2"/>
  <c r="O43" i="2" s="1"/>
  <c r="N44" i="2"/>
  <c r="N45" i="2"/>
  <c r="O45" i="2" s="1"/>
  <c r="N46" i="2"/>
  <c r="O46" i="2" s="1"/>
  <c r="N47" i="2"/>
  <c r="O47" i="2" s="1"/>
  <c r="N48" i="2"/>
  <c r="N49" i="2"/>
  <c r="N50" i="2"/>
  <c r="O50" i="2" s="1"/>
  <c r="N51" i="2"/>
  <c r="O51" i="2" s="1"/>
  <c r="N52" i="2"/>
  <c r="O52" i="2" s="1"/>
  <c r="N53" i="2"/>
  <c r="O53" i="2" s="1"/>
  <c r="N54" i="2"/>
  <c r="O54" i="2" s="1"/>
  <c r="N55" i="2"/>
  <c r="O55" i="2" s="1"/>
  <c r="N56" i="2"/>
  <c r="O56" i="2" s="1"/>
  <c r="N57" i="2"/>
  <c r="O57" i="2" s="1"/>
  <c r="N58" i="2"/>
  <c r="O58" i="2" s="1"/>
  <c r="N59" i="2"/>
  <c r="O59" i="2" s="1"/>
  <c r="N60" i="2"/>
  <c r="O60" i="2" s="1"/>
  <c r="N61" i="2"/>
  <c r="O61" i="2" s="1"/>
  <c r="N62" i="2"/>
  <c r="O62" i="2" s="1"/>
  <c r="N63" i="2"/>
  <c r="O63" i="2" s="1"/>
  <c r="N64" i="2"/>
  <c r="O64" i="2" s="1"/>
  <c r="N65" i="2"/>
  <c r="O65" i="2" s="1"/>
  <c r="N66" i="2"/>
  <c r="O66" i="2" s="1"/>
  <c r="N67" i="2"/>
  <c r="O67" i="2" s="1"/>
  <c r="N68" i="2"/>
  <c r="O68" i="2" s="1"/>
  <c r="N69" i="2"/>
  <c r="O69" i="2" s="1"/>
  <c r="N70" i="2"/>
  <c r="O70" i="2" s="1"/>
  <c r="N71" i="2"/>
  <c r="O71" i="2" s="1"/>
  <c r="N72" i="2"/>
  <c r="O72" i="2" s="1"/>
  <c r="N73" i="2"/>
  <c r="O73" i="2" s="1"/>
  <c r="N74" i="2"/>
  <c r="O74" i="2" s="1"/>
  <c r="N75" i="2"/>
  <c r="O75" i="2" s="1"/>
  <c r="N76" i="2"/>
  <c r="N77" i="2"/>
  <c r="O77" i="2" s="1"/>
  <c r="N78" i="2"/>
  <c r="O78" i="2" s="1"/>
  <c r="N79" i="2"/>
  <c r="O79" i="2" s="1"/>
  <c r="N80" i="2"/>
  <c r="N81" i="2"/>
  <c r="N82" i="2"/>
  <c r="O82" i="2" s="1"/>
  <c r="N83" i="2"/>
  <c r="O83" i="2" s="1"/>
  <c r="N84" i="2"/>
  <c r="O84" i="2" s="1"/>
  <c r="N85" i="2"/>
  <c r="O85" i="2" s="1"/>
  <c r="N86" i="2"/>
  <c r="O86" i="2" s="1"/>
  <c r="N87" i="2"/>
  <c r="O87" i="2" s="1"/>
  <c r="N88" i="2"/>
  <c r="O88" i="2" s="1"/>
  <c r="N89" i="2"/>
  <c r="O89" i="2" s="1"/>
  <c r="N90" i="2"/>
  <c r="O90" i="2" s="1"/>
  <c r="N91" i="2"/>
  <c r="O91" i="2" s="1"/>
  <c r="N92" i="2"/>
  <c r="N93" i="2"/>
  <c r="O93" i="2" s="1"/>
  <c r="N94" i="2"/>
  <c r="O94" i="2" s="1"/>
  <c r="N95" i="2"/>
  <c r="O95" i="2" s="1"/>
  <c r="N96" i="2"/>
  <c r="N97" i="2"/>
  <c r="N98" i="2"/>
  <c r="N99" i="2"/>
  <c r="O99" i="2" s="1"/>
  <c r="N100" i="2"/>
  <c r="O100" i="2" s="1"/>
  <c r="N101" i="2"/>
  <c r="O101" i="2" s="1"/>
  <c r="N102" i="2"/>
  <c r="O102" i="2" s="1"/>
  <c r="N103" i="2"/>
  <c r="O103" i="2" s="1"/>
  <c r="N104" i="2"/>
  <c r="O104" i="2" s="1"/>
  <c r="N105" i="2"/>
  <c r="O105" i="2" s="1"/>
  <c r="N106" i="2"/>
  <c r="O106" i="2" s="1"/>
  <c r="N107" i="2"/>
  <c r="O107" i="2" s="1"/>
  <c r="N108" i="2"/>
  <c r="N109" i="2"/>
  <c r="O109" i="2" s="1"/>
  <c r="N110" i="2"/>
  <c r="O110" i="2" s="1"/>
  <c r="N111" i="2"/>
  <c r="O111" i="2" s="1"/>
  <c r="N112" i="2"/>
  <c r="O112" i="2" s="1"/>
  <c r="N113" i="2"/>
  <c r="N114" i="2"/>
  <c r="N115" i="2"/>
  <c r="O115" i="2" s="1"/>
  <c r="N116" i="2"/>
  <c r="O116" i="2" s="1"/>
  <c r="N117" i="2"/>
  <c r="O117" i="2" s="1"/>
  <c r="N118" i="2"/>
  <c r="O118" i="2" s="1"/>
  <c r="N119" i="2"/>
  <c r="O119" i="2" s="1"/>
  <c r="N120" i="2"/>
  <c r="O120" i="2" s="1"/>
  <c r="N121" i="2"/>
  <c r="O121" i="2" s="1"/>
  <c r="N122" i="2"/>
  <c r="O122" i="2" s="1"/>
  <c r="N123" i="2"/>
  <c r="O123" i="2" s="1"/>
  <c r="N124" i="2"/>
  <c r="N125" i="2"/>
  <c r="O125" i="2" s="1"/>
  <c r="N126" i="2"/>
  <c r="O126" i="2" s="1"/>
  <c r="N127" i="2"/>
  <c r="O127" i="2" s="1"/>
  <c r="N128" i="2"/>
  <c r="N129" i="2"/>
  <c r="N130" i="2"/>
  <c r="N131" i="2"/>
  <c r="O131" i="2" s="1"/>
  <c r="N132" i="2"/>
  <c r="O132" i="2" s="1"/>
  <c r="N133" i="2"/>
  <c r="O133" i="2" s="1"/>
  <c r="N2" i="2"/>
  <c r="O2" i="2" s="1"/>
</calcChain>
</file>

<file path=xl/sharedStrings.xml><?xml version="1.0" encoding="utf-8"?>
<sst xmlns="http://schemas.openxmlformats.org/spreadsheetml/2006/main" count="646" uniqueCount="148">
  <si>
    <t>FATURA EXCEL İMPORT REHBERİ</t>
  </si>
  <si>
    <t>1. 'Fatura İşlemleri' sayfasındaki örnek satırları kendi verilerinizle değiştirin.</t>
  </si>
  <si>
    <t>2. Her satır bir fatura satırıdır. Aynı Fatura No'ya sahip satırlar tek fatura olarak gruplanır.</t>
  </si>
  <si>
    <t>3. Fatura No boş bırakılırsa her Excel satırı ayrı bir fatura olarak içe aktarılır.</t>
  </si>
  <si>
    <t>4. Stoklu faturalarda Miktar + Birim Fiyat, hizmet faturalarında Birim Fiyat/Tutar kullanılır.</t>
  </si>
  <si>
    <t>5. KDV % boş bırakılırsa 0 kabul edilir.</t>
  </si>
  <si>
    <t>6. Vadeli faturalarda Cari zorunludur, Ödeme Hesabı boş olur.</t>
  </si>
  <si>
    <t>7. Nakit/Banka/POS faturalarında Ödeme Hesabı zorunludur.</t>
  </si>
  <si>
    <t>8. Cari, Stok, Hizmet, Kasa ve Banka adları Tanımlar bölümüyle birebir aynı olmalıdır.</t>
  </si>
  <si>
    <t>DESTEKLENEN FİŞ TÜRLERİ:</t>
  </si>
  <si>
    <t>- Satış Faturası</t>
  </si>
  <si>
    <t>- Alış Faturası</t>
  </si>
  <si>
    <t>- Satış İade Faturası</t>
  </si>
  <si>
    <t>- Alış İade Faturası</t>
  </si>
  <si>
    <t>- Hizmet Satış Faturası</t>
  </si>
  <si>
    <t>- Hizmet Alış Faturası</t>
  </si>
  <si>
    <t>Fiş Türü</t>
  </si>
  <si>
    <t>Tarih</t>
  </si>
  <si>
    <t>Fatura No</t>
  </si>
  <si>
    <t>Açıklama</t>
  </si>
  <si>
    <t>Cari</t>
  </si>
  <si>
    <t>Ödeme Tipi</t>
  </si>
  <si>
    <t>Ödeme Hesabı</t>
  </si>
  <si>
    <t>Stok/Hizmet Adı</t>
  </si>
  <si>
    <t>Satır Açıklaması</t>
  </si>
  <si>
    <t>Miktar</t>
  </si>
  <si>
    <t>Birim Fiyat</t>
  </si>
  <si>
    <t>KDV %</t>
  </si>
  <si>
    <t>Tutar</t>
  </si>
  <si>
    <t>Hizmet Alış Faturası</t>
  </si>
  <si>
    <t>DIŞARIDAN SAĞLANAN FAYDA VE HİZMETLER</t>
  </si>
  <si>
    <t>KİRA GİDERLERİ</t>
  </si>
  <si>
    <t>BİNA BAKIM ONARIM</t>
  </si>
  <si>
    <t>DEMİRBAŞ</t>
  </si>
  <si>
    <t>YOL GİDERLERİ</t>
  </si>
  <si>
    <t>GİDER SAYILAN DEMİRBAŞ</t>
  </si>
  <si>
    <t>TEMİZLİK GİDERLERİ</t>
  </si>
  <si>
    <t>MUTFAK GİDERLERİ</t>
  </si>
  <si>
    <t>İSKONTO GİDERLERİ</t>
  </si>
  <si>
    <t>AMBALAJ GİDERLERİ</t>
  </si>
  <si>
    <t>MUHASEBE GİDERLERİ</t>
  </si>
  <si>
    <t>VERGİ VE HARÇLAR</t>
  </si>
  <si>
    <t>KIRTASİYE GİDERİ</t>
  </si>
  <si>
    <t>FATURA GİDERLERİ</t>
  </si>
  <si>
    <t>BANKA GİDERLERİ</t>
  </si>
  <si>
    <t>TL KASA</t>
  </si>
  <si>
    <t>META PARTNERS GAYRİMENKUL LTD. - EMLAKÇI HİZMET BEDELİ</t>
  </si>
  <si>
    <t>1 KİRA , 1 DEPOZİTO</t>
  </si>
  <si>
    <t>ADAN ÖZDEMİR İNŞAAT LTD.ŞTİ. - BOYA MALZEMELERİ</t>
  </si>
  <si>
    <t>TEŞHİR RAFLARI - KARANİ BEY</t>
  </si>
  <si>
    <t>NAKLİYECİ MURAT - TEŞHİR RAFLARI</t>
  </si>
  <si>
    <t>BAYRAKLAR NALBURİYE - RAMAZAN BAYRAK - RAF AYAKLARI</t>
  </si>
  <si>
    <t>BİM A.Ş - TEMİZLİK MALZ</t>
  </si>
  <si>
    <t>BİM A.Ş - KAĞIT HAVLU - TUV. KAĞIDI</t>
  </si>
  <si>
    <t>AFİLİ AMBALAJ TİC.LTD. - DÜKKAN TEMİZLİK ALETLERİ</t>
  </si>
  <si>
    <t>BİM A.Ş. - SU 2 ADET</t>
  </si>
  <si>
    <t>BİM A.Ş. - TEMİZLİK MALZ.</t>
  </si>
  <si>
    <t>N11 - YILDIRIM ELEKTRİK - 2 ADET KAPI KİLİDİ</t>
  </si>
  <si>
    <t>TABELACI İLK PEŞİNAT</t>
  </si>
  <si>
    <t>BİM A.Ş. - ÇAY BARDAĞI</t>
  </si>
  <si>
    <t>TRENDYOL - AYDIN ÇEVRE DANIŞMANLIK LTD. - TERAZİ</t>
  </si>
  <si>
    <t>TRENDYOL - MT OFİS KIRTASİYE - RAF ETİKETİ - 400 MİCRON PVC 38x100 100 ADET</t>
  </si>
  <si>
    <t>HEPSİBURADA - YAZARKASAMPOS ELEKTRONİK LTD. - YAZARKASA POS CİHAZI</t>
  </si>
  <si>
    <t>TABELACI KALAN</t>
  </si>
  <si>
    <t>SATIŞ</t>
  </si>
  <si>
    <t>HÜSNÜ YILMAZ - BAHARAT KOVALARI - 20 ADET</t>
  </si>
  <si>
    <t>BAHARAT KOVALARI - NAKLİYE</t>
  </si>
  <si>
    <t>AFİLİ AMBALAJ TİC.LTD. - BAKKALİYE - MARKET - POŞETLERİ</t>
  </si>
  <si>
    <t>TRENDYOL - EDA DOĞAN - XPRİNTER XP-470B - BARKOD YAZICISI</t>
  </si>
  <si>
    <t>NALBUR - TABELA KABLO - KABLO BANDI</t>
  </si>
  <si>
    <t>İNAN MUHASEBE</t>
  </si>
  <si>
    <t>KAMERA SİSTEMİ - VOLKAN KAYA</t>
  </si>
  <si>
    <t>KDV ÖDEME</t>
  </si>
  <si>
    <t>KİRA GİDERİ - 2025/11</t>
  </si>
  <si>
    <t>07-09 STOPAJ</t>
  </si>
  <si>
    <t>TR-PACHTECH 30 CM POŞET AĞZI KAPAMA YAPIŞTIRMA MAKİNASI</t>
  </si>
  <si>
    <t>TR - RULO ETİKETLER</t>
  </si>
  <si>
    <t>TR - KARGO BEDELİ</t>
  </si>
  <si>
    <t>HB-MT OFİS KIRTASİYE - RAF ETİKETİ - 400 MİCRON PVC 38x100 100 ADET</t>
  </si>
  <si>
    <t>EKİPLER YANGIN GÜVENLİK LTD. - YANGIN TÜPÜ</t>
  </si>
  <si>
    <t>YOL GİDERİ - BELEDİYE RUHSAT İŞLERİ</t>
  </si>
  <si>
    <t>BELEDİYE - TABELA VERGİSİ</t>
  </si>
  <si>
    <t>BELEDİYE - ÇTV</t>
  </si>
  <si>
    <t>GEÇİCİ VERGİ ÖDEME - ON NUMARA</t>
  </si>
  <si>
    <t>MUHASEBE GİDERİ ÖDEME</t>
  </si>
  <si>
    <t>AFİLİ AMBALAJ - AMBALAJ GİDERİ</t>
  </si>
  <si>
    <t>ELEKTRİK FATURASI - EYLÜL</t>
  </si>
  <si>
    <t>ELEKTRİK FATURASI - EKİM</t>
  </si>
  <si>
    <t>KDV ÖDEME - ON NUMARA</t>
  </si>
  <si>
    <t>YAĞMUR OFSET - KARTVİZİT</t>
  </si>
  <si>
    <t>DAMGA VERGİSİ - YENİ KİRA KONTRATI</t>
  </si>
  <si>
    <t>KİRA GİDERİ - 2025/12</t>
  </si>
  <si>
    <t>ANTEP SEVKİYAT</t>
  </si>
  <si>
    <t>BENZİN</t>
  </si>
  <si>
    <t>BİM - KUMTEL ISITICI</t>
  </si>
  <si>
    <t>İBRAHİM ÜNLÜ - ÖDEME</t>
  </si>
  <si>
    <t>NADİR ÇARŞI-SAKLAMA KABI</t>
  </si>
  <si>
    <t>NADİR ÇARŞI-SAKLAMA KABI - 5 BÜYÜK</t>
  </si>
  <si>
    <t>NADİR ÇARŞI - KÜREK - 3 TANE</t>
  </si>
  <si>
    <t>RAF BURADA - AKSİYON SEPET+TELLİ RAF - HAYRİ SEVENCAN</t>
  </si>
  <si>
    <t>POS YILLIK GİDERİ</t>
  </si>
  <si>
    <t>POS BAKIM ÜCRETİ</t>
  </si>
  <si>
    <t>ANTEP - NAKLİYE</t>
  </si>
  <si>
    <t>KİRA GİDERİ - 2026/01</t>
  </si>
  <si>
    <t>STOPAJ ÖDEME - ON NUMARA</t>
  </si>
  <si>
    <t>KİRA GİDERİ - 2026/02</t>
  </si>
  <si>
    <t>ANTEP MALZEME NAKLİYESİ</t>
  </si>
  <si>
    <t>MUHASEBE GİDERİ</t>
  </si>
  <si>
    <t>POS ÇÖZÜMÜ - GEÇİCİ VERGİ - ON NUMARA</t>
  </si>
  <si>
    <t>AFİLLİ AMBALAJ - KÜÇÜK ATLET POŞET</t>
  </si>
  <si>
    <t>SALÇA İADELERİ İÇİN ARAÇ BENZİN</t>
  </si>
  <si>
    <t>POS ÇÖZÜMÜ - ON NUMARA - GİDER</t>
  </si>
  <si>
    <t>KİRA GİDERİ - 2026/03</t>
  </si>
  <si>
    <t>KDV ÖDEME - ON NUMARA KART İLE</t>
  </si>
  <si>
    <t>TR - 40X58 ETİKET</t>
  </si>
  <si>
    <t>TR - POŞET YAPIŞTIRICI TEL &amp; TEFLON 5 ADET</t>
  </si>
  <si>
    <t>SU FATURASI ÖDEME - TFK</t>
  </si>
  <si>
    <t>ESNAF VE SANATKARLAR ODA KAYIT ÜCRETİ</t>
  </si>
  <si>
    <t>ON NUMARA POS ÇÖZÜMÜ - ELEKTRİK FATURA</t>
  </si>
  <si>
    <t>SALÇA ÜSTÜ TEZGAH</t>
  </si>
  <si>
    <t>ON NUMARA POS ÇÖZÜMÜ - ELEKTRİK TEMİNAT GİDERİ</t>
  </si>
  <si>
    <t>KÜÇÜK HASSAS TARTI</t>
  </si>
  <si>
    <t>ESNAF SANATKARLAR FAALİYET BELGESİ</t>
  </si>
  <si>
    <t>ON NUMARA POS ÇÖZÜMÜ - BELEDİYE RUHSAT</t>
  </si>
  <si>
    <t>ON NUMARA POS ÇÖZÜMÜ - EK KART ÜCRETİ</t>
  </si>
  <si>
    <t>ON NUMARA POS ÇÖZÜMÜ - YILLIK GELİR VERGİSİ</t>
  </si>
  <si>
    <t>KİRA GİDERİ - 2026/04</t>
  </si>
  <si>
    <t>PEMA AMBALAJ - ATLET POŞET</t>
  </si>
  <si>
    <t>KÜÇÜK JELETİN POŞETLER - PEMA</t>
  </si>
  <si>
    <t>DURMUŞOĞULLARI - KATI PEKMEZ - KARGO</t>
  </si>
  <si>
    <t>ON NUMARA POS ÇÖZÜMÜ - ELEKTRİK FATURASI</t>
  </si>
  <si>
    <t>01/2026 - 03/2026 STP ÖDEME</t>
  </si>
  <si>
    <t>ON NUMARA POS ÇÖZÜMÜ İSKİ</t>
  </si>
  <si>
    <t>KİRA GİDERİ - 2026/05</t>
  </si>
  <si>
    <t>KDV ÖDEME - 02/2026 DNM - MMT K.K.</t>
  </si>
  <si>
    <t>İBRAHİM ÜNLÜ MUHASEBE GİDERİ - NİSAN/MAYIS</t>
  </si>
  <si>
    <t>ON NUMARA POS ÇÖZÜMÜ - GEÇİCİ VERGİ</t>
  </si>
  <si>
    <t>ON NUMARA POS ÇÖZÜMÜ - ELEKTRİK</t>
  </si>
  <si>
    <t>ON NUMARA POS ÇÖZÜMÜ - SU</t>
  </si>
  <si>
    <t>ON NUMARA POS ÇÖZÜMÜ - KDV</t>
  </si>
  <si>
    <t>KİRA GİDERİ - HAZİRAN</t>
  </si>
  <si>
    <t>ANTEP NAKLİYE - MMT KUVEYT - ERAY DENİZ</t>
  </si>
  <si>
    <t>300 TL JELETİN POŞET (KG 190) - 75 HIŞIR POŞET 1 ADET</t>
  </si>
  <si>
    <t>MUHASEBE ÜCRETİ ÖDEME</t>
  </si>
  <si>
    <t>ON NUMARA POS ÇÖZÜMÜ - İSKİ</t>
  </si>
  <si>
    <t>TATBAK LTD</t>
  </si>
  <si>
    <t>KİRA GİDERİ</t>
  </si>
  <si>
    <t>ON NUMARA POS -  PEMA POŞET ALIMI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</si>
</sst>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A69BD"/>
        <bgColor rgb="FF4A69BD"/>
      </patternFill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14" fontId="5" fillId="0" borderId="1" xfId="0" applyNumberFormat="1" applyFont="1" applyBorder="1"/>
    <xf numFmtId="43" fontId="0" fillId="0" borderId="1" xfId="1" applyFont="1" applyBorder="1"/>
    <xf numFmtId="43" fontId="0" fillId="0" borderId="1" xfId="1" applyFont="1" applyFill="1" applyBorder="1"/>
  </cellXfs>
  <cellStyles count="2">
    <cellStyle name="Normal" xfId="0" builtinId="0"/>
    <cellStyle name="Virgül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/>
  </sheetViews>
  <sheetFormatPr defaultRowHeight="15" x14ac:dyDescent="0.25"/>
  <cols>
    <col min="1" max="1" width="120" customWidth="1"/>
  </cols>
  <sheetData>
    <row r="1" spans="1:1" ht="15.75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2" spans="1:1" ht="15.75" x14ac:dyDescent="0.25">
      <c r="A12" s="1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3"/>
  <sheetViews>
    <sheetView tabSelected="1" workbookViewId="0">
      <pane ySplit="1" topLeftCell="A2" activePane="bottomLeft" state="frozen"/>
      <selection pane="bottomLeft" activeCell="D2" sqref="D2:D133"/>
    </sheetView>
  </sheetViews>
  <sheetFormatPr defaultRowHeight="15" x14ac:dyDescent="0.25"/>
  <cols>
    <col min="1" max="1" width="24" customWidth="1"/>
    <col min="2" max="3" width="14" customWidth="1"/>
    <col min="4" max="4" width="28" customWidth="1"/>
    <col min="5" max="5" width="22" customWidth="1"/>
    <col min="6" max="6" width="14" customWidth="1"/>
    <col min="7" max="7" width="23.85546875" bestFit="1" customWidth="1"/>
    <col min="8" max="8" width="41.140625" bestFit="1" customWidth="1"/>
    <col min="9" max="9" width="30" customWidth="1"/>
    <col min="10" max="10" width="10" customWidth="1"/>
    <col min="11" max="11" width="14" customWidth="1"/>
    <col min="12" max="12" width="10" customWidth="1"/>
    <col min="13" max="13" width="14" customWidth="1"/>
  </cols>
  <sheetData>
    <row r="1" spans="1:15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3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</row>
    <row r="2" spans="1:15" x14ac:dyDescent="0.25">
      <c r="A2" t="s">
        <v>29</v>
      </c>
      <c r="B2" s="5">
        <v>45926</v>
      </c>
      <c r="D2" s="4" t="s">
        <v>46</v>
      </c>
      <c r="E2" s="4" t="str">
        <f>IF(F2="Nakit","","MEHMET DAŞDEMİR - K.K.")</f>
        <v/>
      </c>
      <c r="F2" t="str">
        <f>IF(G2="TL KASA","Nakit","Vadeli")</f>
        <v>Nakit</v>
      </c>
      <c r="G2" s="4" t="s">
        <v>45</v>
      </c>
      <c r="H2" t="s">
        <v>30</v>
      </c>
      <c r="I2" s="4" t="s">
        <v>46</v>
      </c>
      <c r="J2" s="4">
        <v>1</v>
      </c>
      <c r="K2" s="7">
        <v>24000</v>
      </c>
      <c r="L2">
        <v>0</v>
      </c>
      <c r="N2" t="str">
        <f>IF(G2="NAKİT", "Kasa", IF(G2="K.K.", "Banka", ""))</f>
        <v/>
      </c>
      <c r="O2" t="str">
        <f>IF(N2="Kasa", "TL KASA", IF(N2="Banka", "MEHMET DAŞDEMİR - K.K.", ""))</f>
        <v/>
      </c>
    </row>
    <row r="3" spans="1:15" x14ac:dyDescent="0.25">
      <c r="A3" t="s">
        <v>29</v>
      </c>
      <c r="B3" s="5">
        <v>45926</v>
      </c>
      <c r="D3" s="4" t="s">
        <v>47</v>
      </c>
      <c r="E3" s="4" t="str">
        <f t="shared" ref="E3:E66" si="0">IF(F3="Nakit","","MEHMET DAŞDEMİR - K.K.")</f>
        <v/>
      </c>
      <c r="F3" t="str">
        <f t="shared" ref="F3:F66" si="1">IF(G3="TL KASA","Nakit","Vadeli")</f>
        <v>Nakit</v>
      </c>
      <c r="G3" s="4" t="s">
        <v>45</v>
      </c>
      <c r="H3" t="s">
        <v>31</v>
      </c>
      <c r="I3" s="4" t="s">
        <v>47</v>
      </c>
      <c r="J3" s="4">
        <v>1</v>
      </c>
      <c r="K3" s="7">
        <v>44000</v>
      </c>
      <c r="L3">
        <v>0</v>
      </c>
      <c r="N3" t="str">
        <f t="shared" ref="N3:N66" si="2">IF(G3="NAKİT", "Kasa", IF(G3="K.K.", "Banka", ""))</f>
        <v/>
      </c>
      <c r="O3" t="str">
        <f t="shared" ref="O3:O66" si="3">IF(N3="Kasa", "TL KASA", IF(N3="Banka", "MEHMET DAŞDEMİR - K.K.", ""))</f>
        <v/>
      </c>
    </row>
    <row r="4" spans="1:15" x14ac:dyDescent="0.25">
      <c r="A4" t="s">
        <v>29</v>
      </c>
      <c r="B4" s="5">
        <v>45927</v>
      </c>
      <c r="D4" s="4" t="s">
        <v>48</v>
      </c>
      <c r="E4" s="4" t="str">
        <f t="shared" si="0"/>
        <v>MEHMET DAŞDEMİR - K.K.</v>
      </c>
      <c r="F4" t="str">
        <f t="shared" si="1"/>
        <v>Vadeli</v>
      </c>
      <c r="G4" s="4"/>
      <c r="H4" t="s">
        <v>32</v>
      </c>
      <c r="I4" s="4" t="s">
        <v>48</v>
      </c>
      <c r="J4" s="4">
        <v>1</v>
      </c>
      <c r="K4" s="7">
        <v>3900</v>
      </c>
      <c r="L4">
        <v>0</v>
      </c>
      <c r="N4" t="str">
        <f t="shared" si="2"/>
        <v/>
      </c>
      <c r="O4" t="str">
        <f t="shared" si="3"/>
        <v/>
      </c>
    </row>
    <row r="5" spans="1:15" x14ac:dyDescent="0.25">
      <c r="A5" t="s">
        <v>29</v>
      </c>
      <c r="B5" s="5">
        <v>45927</v>
      </c>
      <c r="D5" s="4" t="s">
        <v>49</v>
      </c>
      <c r="E5" s="4" t="str">
        <f t="shared" si="0"/>
        <v/>
      </c>
      <c r="F5" t="str">
        <f t="shared" si="1"/>
        <v>Nakit</v>
      </c>
      <c r="G5" s="4" t="s">
        <v>45</v>
      </c>
      <c r="H5" t="s">
        <v>33</v>
      </c>
      <c r="I5" s="4" t="s">
        <v>49</v>
      </c>
      <c r="J5" s="4">
        <v>1</v>
      </c>
      <c r="K5" s="7">
        <v>50000</v>
      </c>
      <c r="L5">
        <v>0</v>
      </c>
      <c r="N5" t="str">
        <f t="shared" si="2"/>
        <v/>
      </c>
      <c r="O5" t="str">
        <f t="shared" si="3"/>
        <v/>
      </c>
    </row>
    <row r="6" spans="1:15" x14ac:dyDescent="0.25">
      <c r="A6" t="s">
        <v>29</v>
      </c>
      <c r="B6" s="5">
        <v>45927</v>
      </c>
      <c r="D6" s="4" t="s">
        <v>50</v>
      </c>
      <c r="E6" s="4" t="str">
        <f t="shared" si="0"/>
        <v/>
      </c>
      <c r="F6" t="str">
        <f t="shared" si="1"/>
        <v>Nakit</v>
      </c>
      <c r="G6" s="4" t="s">
        <v>45</v>
      </c>
      <c r="H6" t="s">
        <v>34</v>
      </c>
      <c r="I6" s="4" t="s">
        <v>50</v>
      </c>
      <c r="J6" s="4">
        <v>1</v>
      </c>
      <c r="K6" s="7">
        <v>7500</v>
      </c>
      <c r="L6">
        <v>0</v>
      </c>
      <c r="N6" t="str">
        <f t="shared" si="2"/>
        <v/>
      </c>
      <c r="O6" t="str">
        <f t="shared" si="3"/>
        <v/>
      </c>
    </row>
    <row r="7" spans="1:15" x14ac:dyDescent="0.25">
      <c r="A7" t="s">
        <v>29</v>
      </c>
      <c r="B7" s="5">
        <v>45929</v>
      </c>
      <c r="D7" s="4" t="s">
        <v>51</v>
      </c>
      <c r="E7" s="4" t="str">
        <f t="shared" si="0"/>
        <v>MEHMET DAŞDEMİR - K.K.</v>
      </c>
      <c r="F7" t="str">
        <f t="shared" si="1"/>
        <v>Vadeli</v>
      </c>
      <c r="G7" s="4"/>
      <c r="H7" t="s">
        <v>35</v>
      </c>
      <c r="I7" s="4" t="s">
        <v>51</v>
      </c>
      <c r="J7" s="4">
        <v>1</v>
      </c>
      <c r="K7" s="7">
        <v>220</v>
      </c>
      <c r="L7">
        <v>0</v>
      </c>
      <c r="N7" t="str">
        <f t="shared" si="2"/>
        <v/>
      </c>
      <c r="O7" t="str">
        <f t="shared" si="3"/>
        <v/>
      </c>
    </row>
    <row r="8" spans="1:15" x14ac:dyDescent="0.25">
      <c r="A8" t="s">
        <v>29</v>
      </c>
      <c r="B8" s="5">
        <v>45929</v>
      </c>
      <c r="D8" s="4" t="s">
        <v>52</v>
      </c>
      <c r="E8" s="4" t="str">
        <f t="shared" si="0"/>
        <v>MEHMET DAŞDEMİR - K.K.</v>
      </c>
      <c r="F8" t="str">
        <f t="shared" si="1"/>
        <v>Vadeli</v>
      </c>
      <c r="G8" s="4"/>
      <c r="H8" t="s">
        <v>36</v>
      </c>
      <c r="I8" s="4" t="s">
        <v>52</v>
      </c>
      <c r="J8" s="4">
        <v>1</v>
      </c>
      <c r="K8" s="7">
        <v>102</v>
      </c>
      <c r="L8">
        <v>0</v>
      </c>
      <c r="N8" t="str">
        <f t="shared" si="2"/>
        <v/>
      </c>
      <c r="O8" t="str">
        <f t="shared" si="3"/>
        <v/>
      </c>
    </row>
    <row r="9" spans="1:15" x14ac:dyDescent="0.25">
      <c r="A9" t="s">
        <v>29</v>
      </c>
      <c r="B9" s="5">
        <v>45929</v>
      </c>
      <c r="D9" s="4" t="s">
        <v>53</v>
      </c>
      <c r="E9" s="4" t="str">
        <f t="shared" si="0"/>
        <v>MEHMET DAŞDEMİR - K.K.</v>
      </c>
      <c r="F9" t="str">
        <f t="shared" si="1"/>
        <v>Vadeli</v>
      </c>
      <c r="G9" s="4"/>
      <c r="H9" t="s">
        <v>36</v>
      </c>
      <c r="I9" s="4" t="s">
        <v>53</v>
      </c>
      <c r="J9" s="4">
        <v>1</v>
      </c>
      <c r="K9" s="7">
        <v>228</v>
      </c>
      <c r="L9">
        <v>0</v>
      </c>
      <c r="N9" t="str">
        <f t="shared" si="2"/>
        <v/>
      </c>
      <c r="O9" t="str">
        <f t="shared" si="3"/>
        <v/>
      </c>
    </row>
    <row r="10" spans="1:15" x14ac:dyDescent="0.25">
      <c r="A10" t="s">
        <v>29</v>
      </c>
      <c r="B10" s="5">
        <v>45932</v>
      </c>
      <c r="D10" s="4" t="s">
        <v>54</v>
      </c>
      <c r="E10" s="4" t="str">
        <f t="shared" si="0"/>
        <v>MEHMET DAŞDEMİR - K.K.</v>
      </c>
      <c r="F10" t="str">
        <f t="shared" si="1"/>
        <v>Vadeli</v>
      </c>
      <c r="G10" s="4"/>
      <c r="H10" t="s">
        <v>35</v>
      </c>
      <c r="I10" s="4" t="s">
        <v>54</v>
      </c>
      <c r="J10" s="4">
        <v>1</v>
      </c>
      <c r="K10" s="7">
        <v>1175</v>
      </c>
      <c r="L10">
        <v>0</v>
      </c>
      <c r="N10" t="str">
        <f t="shared" si="2"/>
        <v/>
      </c>
      <c r="O10" t="str">
        <f t="shared" si="3"/>
        <v/>
      </c>
    </row>
    <row r="11" spans="1:15" x14ac:dyDescent="0.25">
      <c r="A11" t="s">
        <v>29</v>
      </c>
      <c r="B11" s="5">
        <v>45933</v>
      </c>
      <c r="D11" s="4" t="s">
        <v>55</v>
      </c>
      <c r="E11" s="4" t="str">
        <f t="shared" si="0"/>
        <v>MEHMET DAŞDEMİR - K.K.</v>
      </c>
      <c r="F11" t="str">
        <f t="shared" si="1"/>
        <v>Vadeli</v>
      </c>
      <c r="G11" s="4"/>
      <c r="H11" t="s">
        <v>37</v>
      </c>
      <c r="I11" s="4" t="s">
        <v>55</v>
      </c>
      <c r="J11" s="4">
        <v>1</v>
      </c>
      <c r="K11" s="7">
        <v>52</v>
      </c>
      <c r="L11">
        <v>0</v>
      </c>
      <c r="N11" t="str">
        <f t="shared" si="2"/>
        <v/>
      </c>
      <c r="O11" t="str">
        <f t="shared" si="3"/>
        <v/>
      </c>
    </row>
    <row r="12" spans="1:15" x14ac:dyDescent="0.25">
      <c r="A12" t="s">
        <v>29</v>
      </c>
      <c r="B12" s="5">
        <v>45934</v>
      </c>
      <c r="D12" s="4" t="s">
        <v>48</v>
      </c>
      <c r="E12" s="4" t="str">
        <f t="shared" si="0"/>
        <v>MEHMET DAŞDEMİR - K.K.</v>
      </c>
      <c r="F12" t="str">
        <f t="shared" si="1"/>
        <v>Vadeli</v>
      </c>
      <c r="G12" s="4"/>
      <c r="H12" t="s">
        <v>32</v>
      </c>
      <c r="I12" s="4" t="s">
        <v>48</v>
      </c>
      <c r="J12" s="4">
        <v>1</v>
      </c>
      <c r="K12" s="7">
        <v>1000</v>
      </c>
      <c r="L12">
        <v>0</v>
      </c>
      <c r="N12" t="str">
        <f t="shared" si="2"/>
        <v/>
      </c>
      <c r="O12" t="str">
        <f t="shared" si="3"/>
        <v/>
      </c>
    </row>
    <row r="13" spans="1:15" x14ac:dyDescent="0.25">
      <c r="A13" t="s">
        <v>29</v>
      </c>
      <c r="B13" s="5">
        <v>45937</v>
      </c>
      <c r="D13" s="4" t="s">
        <v>56</v>
      </c>
      <c r="E13" s="4" t="str">
        <f t="shared" si="0"/>
        <v>MEHMET DAŞDEMİR - K.K.</v>
      </c>
      <c r="F13" t="str">
        <f t="shared" si="1"/>
        <v>Vadeli</v>
      </c>
      <c r="G13" s="4"/>
      <c r="H13" t="s">
        <v>36</v>
      </c>
      <c r="I13" s="4" t="s">
        <v>56</v>
      </c>
      <c r="J13" s="4">
        <v>1</v>
      </c>
      <c r="K13" s="7">
        <v>131.5</v>
      </c>
      <c r="L13">
        <v>0</v>
      </c>
      <c r="N13" t="str">
        <f t="shared" si="2"/>
        <v/>
      </c>
      <c r="O13" t="str">
        <f t="shared" si="3"/>
        <v/>
      </c>
    </row>
    <row r="14" spans="1:15" x14ac:dyDescent="0.25">
      <c r="A14" t="s">
        <v>29</v>
      </c>
      <c r="B14" s="5">
        <v>45940</v>
      </c>
      <c r="D14" s="4" t="s">
        <v>57</v>
      </c>
      <c r="E14" s="4" t="str">
        <f t="shared" si="0"/>
        <v>MEHMET DAŞDEMİR - K.K.</v>
      </c>
      <c r="F14" t="str">
        <f t="shared" si="1"/>
        <v>Vadeli</v>
      </c>
      <c r="G14" s="4"/>
      <c r="H14" t="s">
        <v>35</v>
      </c>
      <c r="I14" s="4" t="s">
        <v>57</v>
      </c>
      <c r="J14" s="4">
        <v>1</v>
      </c>
      <c r="K14" s="7">
        <v>1061.5</v>
      </c>
      <c r="L14">
        <v>0</v>
      </c>
      <c r="N14" t="str">
        <f t="shared" si="2"/>
        <v/>
      </c>
      <c r="O14" t="str">
        <f t="shared" si="3"/>
        <v/>
      </c>
    </row>
    <row r="15" spans="1:15" x14ac:dyDescent="0.25">
      <c r="A15" t="s">
        <v>29</v>
      </c>
      <c r="B15" s="5">
        <v>45940</v>
      </c>
      <c r="D15" s="4" t="s">
        <v>58</v>
      </c>
      <c r="E15" s="4" t="str">
        <f t="shared" si="0"/>
        <v/>
      </c>
      <c r="F15" t="str">
        <f t="shared" si="1"/>
        <v>Nakit</v>
      </c>
      <c r="G15" s="4" t="s">
        <v>45</v>
      </c>
      <c r="H15" t="s">
        <v>33</v>
      </c>
      <c r="I15" s="4" t="s">
        <v>58</v>
      </c>
      <c r="J15" s="4">
        <v>1</v>
      </c>
      <c r="K15" s="7">
        <v>8000</v>
      </c>
      <c r="L15">
        <v>0</v>
      </c>
      <c r="N15" t="str">
        <f t="shared" si="2"/>
        <v/>
      </c>
      <c r="O15" t="str">
        <f t="shared" si="3"/>
        <v/>
      </c>
    </row>
    <row r="16" spans="1:15" x14ac:dyDescent="0.25">
      <c r="A16" t="s">
        <v>29</v>
      </c>
      <c r="B16" s="5">
        <v>45941</v>
      </c>
      <c r="D16" s="4" t="s">
        <v>59</v>
      </c>
      <c r="E16" s="4" t="str">
        <f t="shared" si="0"/>
        <v>MEHMET DAŞDEMİR - K.K.</v>
      </c>
      <c r="F16" t="str">
        <f t="shared" si="1"/>
        <v>Vadeli</v>
      </c>
      <c r="G16" s="4"/>
      <c r="H16" t="s">
        <v>35</v>
      </c>
      <c r="I16" s="4" t="s">
        <v>59</v>
      </c>
      <c r="J16" s="4">
        <v>1</v>
      </c>
      <c r="K16" s="7">
        <v>64</v>
      </c>
      <c r="L16">
        <v>0</v>
      </c>
      <c r="N16" t="str">
        <f t="shared" si="2"/>
        <v/>
      </c>
      <c r="O16" t="str">
        <f t="shared" si="3"/>
        <v/>
      </c>
    </row>
    <row r="17" spans="1:15" x14ac:dyDescent="0.25">
      <c r="A17" t="s">
        <v>29</v>
      </c>
      <c r="B17" s="5">
        <v>45943</v>
      </c>
      <c r="D17" s="4" t="s">
        <v>60</v>
      </c>
      <c r="E17" s="4" t="str">
        <f t="shared" si="0"/>
        <v>MEHMET DAŞDEMİR - K.K.</v>
      </c>
      <c r="F17" t="str">
        <f t="shared" si="1"/>
        <v>Vadeli</v>
      </c>
      <c r="G17" s="4"/>
      <c r="H17" t="s">
        <v>33</v>
      </c>
      <c r="I17" s="4" t="s">
        <v>60</v>
      </c>
      <c r="J17" s="4">
        <v>1</v>
      </c>
      <c r="K17" s="7">
        <v>815</v>
      </c>
      <c r="L17">
        <v>0</v>
      </c>
      <c r="N17" t="str">
        <f t="shared" si="2"/>
        <v/>
      </c>
      <c r="O17" t="str">
        <f t="shared" si="3"/>
        <v/>
      </c>
    </row>
    <row r="18" spans="1:15" x14ac:dyDescent="0.25">
      <c r="A18" t="s">
        <v>29</v>
      </c>
      <c r="B18" s="5">
        <v>45944</v>
      </c>
      <c r="D18" s="4" t="s">
        <v>61</v>
      </c>
      <c r="E18" s="4" t="str">
        <f t="shared" si="0"/>
        <v>MEHMET DAŞDEMİR - K.K.</v>
      </c>
      <c r="F18" t="str">
        <f t="shared" si="1"/>
        <v>Vadeli</v>
      </c>
      <c r="G18" s="4"/>
      <c r="H18" t="s">
        <v>35</v>
      </c>
      <c r="I18" s="4" t="s">
        <v>61</v>
      </c>
      <c r="J18" s="4">
        <v>1</v>
      </c>
      <c r="K18" s="7">
        <v>429.98</v>
      </c>
      <c r="L18">
        <v>0</v>
      </c>
      <c r="N18" t="str">
        <f t="shared" si="2"/>
        <v/>
      </c>
      <c r="O18" t="str">
        <f t="shared" si="3"/>
        <v/>
      </c>
    </row>
    <row r="19" spans="1:15" x14ac:dyDescent="0.25">
      <c r="A19" t="s">
        <v>29</v>
      </c>
      <c r="B19" s="5">
        <v>45944</v>
      </c>
      <c r="D19" s="4" t="s">
        <v>62</v>
      </c>
      <c r="E19" s="4" t="str">
        <f t="shared" si="0"/>
        <v>MEHMET DAŞDEMİR - K.K.</v>
      </c>
      <c r="F19" t="str">
        <f t="shared" si="1"/>
        <v>Vadeli</v>
      </c>
      <c r="G19" s="4"/>
      <c r="H19" t="s">
        <v>33</v>
      </c>
      <c r="I19" s="4" t="s">
        <v>62</v>
      </c>
      <c r="J19" s="4">
        <v>1</v>
      </c>
      <c r="K19" s="7">
        <v>6399</v>
      </c>
      <c r="L19">
        <v>0</v>
      </c>
      <c r="N19" t="str">
        <f t="shared" si="2"/>
        <v/>
      </c>
      <c r="O19" t="str">
        <f t="shared" si="3"/>
        <v/>
      </c>
    </row>
    <row r="20" spans="1:15" x14ac:dyDescent="0.25">
      <c r="A20" t="s">
        <v>29</v>
      </c>
      <c r="B20" s="5">
        <v>45945</v>
      </c>
      <c r="D20" s="4" t="s">
        <v>63</v>
      </c>
      <c r="E20" s="4" t="str">
        <f t="shared" si="0"/>
        <v/>
      </c>
      <c r="F20" t="str">
        <f t="shared" si="1"/>
        <v>Nakit</v>
      </c>
      <c r="G20" s="4" t="s">
        <v>45</v>
      </c>
      <c r="H20" t="s">
        <v>33</v>
      </c>
      <c r="I20" s="4" t="s">
        <v>63</v>
      </c>
      <c r="J20" s="4">
        <v>1</v>
      </c>
      <c r="K20" s="7">
        <v>8000</v>
      </c>
      <c r="L20">
        <v>0</v>
      </c>
      <c r="N20" t="str">
        <f t="shared" si="2"/>
        <v/>
      </c>
      <c r="O20" t="str">
        <f t="shared" si="3"/>
        <v/>
      </c>
    </row>
    <row r="21" spans="1:15" x14ac:dyDescent="0.25">
      <c r="A21" t="s">
        <v>29</v>
      </c>
      <c r="B21" s="5">
        <v>45946</v>
      </c>
      <c r="D21" s="4" t="s">
        <v>64</v>
      </c>
      <c r="E21" s="4" t="str">
        <f t="shared" si="0"/>
        <v/>
      </c>
      <c r="F21" t="str">
        <f t="shared" si="1"/>
        <v>Nakit</v>
      </c>
      <c r="G21" s="4" t="s">
        <v>45</v>
      </c>
      <c r="H21" t="s">
        <v>38</v>
      </c>
      <c r="I21" s="4" t="s">
        <v>64</v>
      </c>
      <c r="J21" s="4">
        <v>1</v>
      </c>
      <c r="K21" s="7">
        <v>34</v>
      </c>
      <c r="L21">
        <v>0</v>
      </c>
      <c r="N21" t="str">
        <f t="shared" si="2"/>
        <v/>
      </c>
      <c r="O21" t="str">
        <f t="shared" si="3"/>
        <v/>
      </c>
    </row>
    <row r="22" spans="1:15" x14ac:dyDescent="0.25">
      <c r="A22" t="s">
        <v>29</v>
      </c>
      <c r="B22" s="5">
        <v>45947</v>
      </c>
      <c r="D22" s="4" t="s">
        <v>65</v>
      </c>
      <c r="E22" s="4" t="str">
        <f t="shared" si="0"/>
        <v/>
      </c>
      <c r="F22" t="str">
        <f t="shared" si="1"/>
        <v>Nakit</v>
      </c>
      <c r="G22" s="4" t="s">
        <v>45</v>
      </c>
      <c r="H22" t="s">
        <v>33</v>
      </c>
      <c r="I22" s="4" t="s">
        <v>65</v>
      </c>
      <c r="J22" s="4">
        <v>1</v>
      </c>
      <c r="K22" s="7">
        <v>19200</v>
      </c>
      <c r="L22">
        <v>0</v>
      </c>
      <c r="N22" t="str">
        <f t="shared" si="2"/>
        <v/>
      </c>
      <c r="O22" t="str">
        <f t="shared" si="3"/>
        <v/>
      </c>
    </row>
    <row r="23" spans="1:15" x14ac:dyDescent="0.25">
      <c r="A23" t="s">
        <v>29</v>
      </c>
      <c r="B23" s="5">
        <v>45947</v>
      </c>
      <c r="D23" s="4" t="s">
        <v>66</v>
      </c>
      <c r="E23" s="4" t="str">
        <f t="shared" si="0"/>
        <v/>
      </c>
      <c r="F23" t="str">
        <f t="shared" si="1"/>
        <v>Nakit</v>
      </c>
      <c r="G23" s="4" t="s">
        <v>45</v>
      </c>
      <c r="H23" t="s">
        <v>34</v>
      </c>
      <c r="I23" s="4" t="s">
        <v>66</v>
      </c>
      <c r="J23" s="4">
        <v>1</v>
      </c>
      <c r="K23" s="7">
        <v>2500</v>
      </c>
      <c r="L23">
        <v>0</v>
      </c>
      <c r="N23" t="str">
        <f t="shared" si="2"/>
        <v/>
      </c>
      <c r="O23" t="str">
        <f t="shared" si="3"/>
        <v/>
      </c>
    </row>
    <row r="24" spans="1:15" x14ac:dyDescent="0.25">
      <c r="A24" t="s">
        <v>29</v>
      </c>
      <c r="B24" s="5">
        <v>45948</v>
      </c>
      <c r="D24" s="4" t="s">
        <v>67</v>
      </c>
      <c r="E24" s="4" t="str">
        <f t="shared" si="0"/>
        <v>MEHMET DAŞDEMİR - K.K.</v>
      </c>
      <c r="F24" t="str">
        <f t="shared" si="1"/>
        <v>Vadeli</v>
      </c>
      <c r="G24" s="4"/>
      <c r="H24" t="s">
        <v>39</v>
      </c>
      <c r="I24" s="4" t="s">
        <v>67</v>
      </c>
      <c r="J24" s="4">
        <v>1</v>
      </c>
      <c r="K24" s="7">
        <v>2539.64</v>
      </c>
      <c r="L24">
        <v>0</v>
      </c>
      <c r="N24" t="str">
        <f t="shared" si="2"/>
        <v/>
      </c>
      <c r="O24" t="str">
        <f t="shared" si="3"/>
        <v/>
      </c>
    </row>
    <row r="25" spans="1:15" x14ac:dyDescent="0.25">
      <c r="A25" t="s">
        <v>29</v>
      </c>
      <c r="B25" s="5">
        <v>45948</v>
      </c>
      <c r="D25" s="4" t="s">
        <v>67</v>
      </c>
      <c r="E25" s="4" t="str">
        <f t="shared" si="0"/>
        <v>MEHMET DAŞDEMİR - K.K.</v>
      </c>
      <c r="F25" t="str">
        <f t="shared" si="1"/>
        <v>Vadeli</v>
      </c>
      <c r="G25" s="4"/>
      <c r="H25" t="s">
        <v>39</v>
      </c>
      <c r="I25" s="4" t="s">
        <v>67</v>
      </c>
      <c r="J25" s="4">
        <v>1</v>
      </c>
      <c r="K25" s="7">
        <v>3260.36</v>
      </c>
      <c r="L25">
        <v>0</v>
      </c>
      <c r="N25" t="str">
        <f t="shared" si="2"/>
        <v/>
      </c>
      <c r="O25" t="str">
        <f t="shared" si="3"/>
        <v/>
      </c>
    </row>
    <row r="26" spans="1:15" x14ac:dyDescent="0.25">
      <c r="A26" t="s">
        <v>29</v>
      </c>
      <c r="B26" s="5">
        <v>45948</v>
      </c>
      <c r="D26" s="4" t="s">
        <v>68</v>
      </c>
      <c r="E26" s="4" t="str">
        <f t="shared" si="0"/>
        <v>MEHMET DAŞDEMİR - K.K.</v>
      </c>
      <c r="F26" t="str">
        <f t="shared" si="1"/>
        <v>Vadeli</v>
      </c>
      <c r="G26" s="4"/>
      <c r="H26" t="s">
        <v>33</v>
      </c>
      <c r="I26" s="4" t="s">
        <v>68</v>
      </c>
      <c r="J26" s="4">
        <v>1</v>
      </c>
      <c r="K26" s="7">
        <v>3790</v>
      </c>
      <c r="L26">
        <v>0</v>
      </c>
      <c r="N26" t="str">
        <f t="shared" si="2"/>
        <v/>
      </c>
      <c r="O26" t="str">
        <f t="shared" si="3"/>
        <v/>
      </c>
    </row>
    <row r="27" spans="1:15" x14ac:dyDescent="0.25">
      <c r="A27" t="s">
        <v>29</v>
      </c>
      <c r="B27" s="5">
        <v>45950</v>
      </c>
      <c r="D27" s="4" t="s">
        <v>64</v>
      </c>
      <c r="E27" s="4" t="str">
        <f t="shared" si="0"/>
        <v/>
      </c>
      <c r="F27" t="str">
        <f t="shared" si="1"/>
        <v>Nakit</v>
      </c>
      <c r="G27" s="4" t="s">
        <v>45</v>
      </c>
      <c r="H27" t="s">
        <v>38</v>
      </c>
      <c r="I27" s="4" t="s">
        <v>64</v>
      </c>
      <c r="J27" s="4">
        <v>1</v>
      </c>
      <c r="K27" s="7">
        <v>11</v>
      </c>
      <c r="L27">
        <v>0</v>
      </c>
      <c r="N27" t="str">
        <f t="shared" si="2"/>
        <v/>
      </c>
      <c r="O27" t="str">
        <f t="shared" si="3"/>
        <v/>
      </c>
    </row>
    <row r="28" spans="1:15" x14ac:dyDescent="0.25">
      <c r="A28" t="s">
        <v>29</v>
      </c>
      <c r="B28" s="5">
        <v>45952</v>
      </c>
      <c r="D28" s="4" t="s">
        <v>69</v>
      </c>
      <c r="E28" s="4" t="str">
        <f t="shared" si="0"/>
        <v/>
      </c>
      <c r="F28" t="str">
        <f t="shared" si="1"/>
        <v>Nakit</v>
      </c>
      <c r="G28" s="4" t="s">
        <v>45</v>
      </c>
      <c r="H28" t="s">
        <v>32</v>
      </c>
      <c r="I28" s="4" t="s">
        <v>69</v>
      </c>
      <c r="J28" s="4">
        <v>1</v>
      </c>
      <c r="K28" s="7">
        <v>550</v>
      </c>
      <c r="L28">
        <v>0</v>
      </c>
      <c r="N28" t="str">
        <f t="shared" si="2"/>
        <v/>
      </c>
      <c r="O28" t="str">
        <f t="shared" si="3"/>
        <v/>
      </c>
    </row>
    <row r="29" spans="1:15" x14ac:dyDescent="0.25">
      <c r="A29" t="s">
        <v>29</v>
      </c>
      <c r="B29" s="5">
        <v>45952</v>
      </c>
      <c r="D29" s="4" t="s">
        <v>70</v>
      </c>
      <c r="E29" s="4" t="str">
        <f t="shared" si="0"/>
        <v/>
      </c>
      <c r="F29" t="str">
        <f t="shared" si="1"/>
        <v>Nakit</v>
      </c>
      <c r="G29" s="4" t="s">
        <v>45</v>
      </c>
      <c r="H29" t="s">
        <v>40</v>
      </c>
      <c r="I29" s="4" t="s">
        <v>70</v>
      </c>
      <c r="J29" s="4">
        <v>1</v>
      </c>
      <c r="K29" s="7">
        <v>1500</v>
      </c>
      <c r="L29">
        <v>0</v>
      </c>
      <c r="N29" t="str">
        <f t="shared" si="2"/>
        <v/>
      </c>
      <c r="O29" t="str">
        <f t="shared" si="3"/>
        <v/>
      </c>
    </row>
    <row r="30" spans="1:15" x14ac:dyDescent="0.25">
      <c r="A30" t="s">
        <v>29</v>
      </c>
      <c r="B30" s="5">
        <v>45953</v>
      </c>
      <c r="D30" s="4" t="s">
        <v>64</v>
      </c>
      <c r="E30" s="4" t="str">
        <f t="shared" si="0"/>
        <v/>
      </c>
      <c r="F30" t="str">
        <f t="shared" si="1"/>
        <v>Nakit</v>
      </c>
      <c r="G30" s="4" t="s">
        <v>45</v>
      </c>
      <c r="H30" t="s">
        <v>38</v>
      </c>
      <c r="I30" s="4" t="s">
        <v>64</v>
      </c>
      <c r="J30" s="4">
        <v>1</v>
      </c>
      <c r="K30" s="7">
        <v>45.25</v>
      </c>
      <c r="L30">
        <v>0</v>
      </c>
      <c r="N30" t="str">
        <f t="shared" si="2"/>
        <v/>
      </c>
      <c r="O30" t="str">
        <f t="shared" si="3"/>
        <v/>
      </c>
    </row>
    <row r="31" spans="1:15" x14ac:dyDescent="0.25">
      <c r="A31" t="s">
        <v>29</v>
      </c>
      <c r="B31" s="5">
        <v>45954</v>
      </c>
      <c r="D31" s="4" t="s">
        <v>64</v>
      </c>
      <c r="E31" s="4" t="str">
        <f t="shared" si="0"/>
        <v/>
      </c>
      <c r="F31" t="str">
        <f t="shared" si="1"/>
        <v>Nakit</v>
      </c>
      <c r="G31" s="4" t="s">
        <v>45</v>
      </c>
      <c r="H31" t="s">
        <v>38</v>
      </c>
      <c r="I31" s="4" t="s">
        <v>64</v>
      </c>
      <c r="J31" s="4">
        <v>1</v>
      </c>
      <c r="K31" s="7">
        <v>29.4</v>
      </c>
      <c r="L31">
        <v>0</v>
      </c>
      <c r="N31" t="str">
        <f t="shared" si="2"/>
        <v/>
      </c>
      <c r="O31" t="str">
        <f t="shared" si="3"/>
        <v/>
      </c>
    </row>
    <row r="32" spans="1:15" x14ac:dyDescent="0.25">
      <c r="A32" t="s">
        <v>29</v>
      </c>
      <c r="B32" s="5">
        <v>45956</v>
      </c>
      <c r="D32" s="4" t="s">
        <v>64</v>
      </c>
      <c r="E32" s="4" t="str">
        <f t="shared" si="0"/>
        <v/>
      </c>
      <c r="F32" t="str">
        <f t="shared" si="1"/>
        <v>Nakit</v>
      </c>
      <c r="G32" s="4" t="s">
        <v>45</v>
      </c>
      <c r="H32" t="s">
        <v>38</v>
      </c>
      <c r="I32" s="4" t="s">
        <v>64</v>
      </c>
      <c r="J32" s="4">
        <v>1</v>
      </c>
      <c r="K32" s="7">
        <v>16.260000000000002</v>
      </c>
      <c r="L32">
        <v>0</v>
      </c>
      <c r="N32" t="str">
        <f t="shared" si="2"/>
        <v/>
      </c>
      <c r="O32" t="str">
        <f t="shared" si="3"/>
        <v/>
      </c>
    </row>
    <row r="33" spans="1:15" x14ac:dyDescent="0.25">
      <c r="A33" t="s">
        <v>29</v>
      </c>
      <c r="B33" s="5">
        <v>45956</v>
      </c>
      <c r="D33" s="4" t="s">
        <v>64</v>
      </c>
      <c r="E33" s="4" t="str">
        <f t="shared" si="0"/>
        <v/>
      </c>
      <c r="F33" t="str">
        <f t="shared" si="1"/>
        <v>Nakit</v>
      </c>
      <c r="G33" s="4" t="s">
        <v>45</v>
      </c>
      <c r="H33" t="s">
        <v>38</v>
      </c>
      <c r="I33" s="4" t="s">
        <v>64</v>
      </c>
      <c r="J33" s="4">
        <v>1</v>
      </c>
      <c r="K33" s="7">
        <v>30.22</v>
      </c>
      <c r="L33">
        <v>0</v>
      </c>
      <c r="N33" t="str">
        <f t="shared" si="2"/>
        <v/>
      </c>
      <c r="O33" t="str">
        <f t="shared" si="3"/>
        <v/>
      </c>
    </row>
    <row r="34" spans="1:15" x14ac:dyDescent="0.25">
      <c r="A34" t="s">
        <v>29</v>
      </c>
      <c r="B34" s="5">
        <v>45957</v>
      </c>
      <c r="D34" s="4" t="s">
        <v>64</v>
      </c>
      <c r="E34" s="4" t="str">
        <f t="shared" si="0"/>
        <v/>
      </c>
      <c r="F34" t="str">
        <f t="shared" si="1"/>
        <v>Nakit</v>
      </c>
      <c r="G34" s="4" t="s">
        <v>45</v>
      </c>
      <c r="H34" t="s">
        <v>38</v>
      </c>
      <c r="I34" s="4" t="s">
        <v>64</v>
      </c>
      <c r="J34" s="4">
        <v>1</v>
      </c>
      <c r="K34" s="7">
        <v>15.74</v>
      </c>
      <c r="L34">
        <v>0</v>
      </c>
      <c r="N34" t="str">
        <f t="shared" si="2"/>
        <v/>
      </c>
      <c r="O34" t="str">
        <f t="shared" si="3"/>
        <v/>
      </c>
    </row>
    <row r="35" spans="1:15" x14ac:dyDescent="0.25">
      <c r="A35" t="s">
        <v>29</v>
      </c>
      <c r="B35" s="5">
        <v>45957</v>
      </c>
      <c r="D35" s="4" t="s">
        <v>71</v>
      </c>
      <c r="E35" s="4" t="str">
        <f t="shared" si="0"/>
        <v/>
      </c>
      <c r="F35" t="str">
        <f t="shared" si="1"/>
        <v>Nakit</v>
      </c>
      <c r="G35" s="4" t="s">
        <v>45</v>
      </c>
      <c r="H35" t="s">
        <v>33</v>
      </c>
      <c r="I35" s="4" t="s">
        <v>71</v>
      </c>
      <c r="J35" s="4">
        <v>1</v>
      </c>
      <c r="K35" s="7">
        <v>10500</v>
      </c>
      <c r="L35">
        <v>0</v>
      </c>
      <c r="N35" t="str">
        <f t="shared" si="2"/>
        <v/>
      </c>
      <c r="O35" t="str">
        <f t="shared" si="3"/>
        <v/>
      </c>
    </row>
    <row r="36" spans="1:15" x14ac:dyDescent="0.25">
      <c r="A36" t="s">
        <v>29</v>
      </c>
      <c r="B36" s="5">
        <v>45957</v>
      </c>
      <c r="D36" s="4" t="s">
        <v>72</v>
      </c>
      <c r="E36" s="4" t="str">
        <f t="shared" si="0"/>
        <v>MEHMET DAŞDEMİR - K.K.</v>
      </c>
      <c r="F36" t="str">
        <f t="shared" si="1"/>
        <v>Vadeli</v>
      </c>
      <c r="G36" s="4"/>
      <c r="H36" t="s">
        <v>41</v>
      </c>
      <c r="I36" s="4" t="s">
        <v>72</v>
      </c>
      <c r="J36" s="4">
        <v>1</v>
      </c>
      <c r="K36" s="7">
        <v>665</v>
      </c>
      <c r="L36">
        <v>0</v>
      </c>
      <c r="N36" t="str">
        <f t="shared" si="2"/>
        <v/>
      </c>
      <c r="O36" t="str">
        <f t="shared" si="3"/>
        <v/>
      </c>
    </row>
    <row r="37" spans="1:15" x14ac:dyDescent="0.25">
      <c r="A37" t="s">
        <v>29</v>
      </c>
      <c r="B37" s="5">
        <v>45958</v>
      </c>
      <c r="D37" s="4" t="s">
        <v>64</v>
      </c>
      <c r="E37" s="4" t="str">
        <f t="shared" si="0"/>
        <v/>
      </c>
      <c r="F37" t="str">
        <f t="shared" si="1"/>
        <v>Nakit</v>
      </c>
      <c r="G37" s="4" t="s">
        <v>45</v>
      </c>
      <c r="H37" t="s">
        <v>38</v>
      </c>
      <c r="I37" s="4" t="s">
        <v>64</v>
      </c>
      <c r="J37" s="4">
        <v>1</v>
      </c>
      <c r="K37" s="7">
        <v>30</v>
      </c>
      <c r="L37">
        <v>0</v>
      </c>
      <c r="N37" t="str">
        <f t="shared" si="2"/>
        <v/>
      </c>
      <c r="O37" t="str">
        <f t="shared" si="3"/>
        <v/>
      </c>
    </row>
    <row r="38" spans="1:15" x14ac:dyDescent="0.25">
      <c r="A38" t="s">
        <v>29</v>
      </c>
      <c r="B38" s="5">
        <v>45962</v>
      </c>
      <c r="D38" s="4" t="s">
        <v>73</v>
      </c>
      <c r="E38" s="4" t="str">
        <f t="shared" si="0"/>
        <v/>
      </c>
      <c r="F38" t="str">
        <f t="shared" si="1"/>
        <v>Nakit</v>
      </c>
      <c r="G38" s="4" t="s">
        <v>45</v>
      </c>
      <c r="H38" t="s">
        <v>31</v>
      </c>
      <c r="I38" s="4" t="s">
        <v>73</v>
      </c>
      <c r="J38" s="4">
        <v>1</v>
      </c>
      <c r="K38" s="7">
        <v>22000</v>
      </c>
      <c r="L38">
        <v>0</v>
      </c>
      <c r="N38" t="str">
        <f t="shared" si="2"/>
        <v/>
      </c>
      <c r="O38" t="str">
        <f t="shared" si="3"/>
        <v/>
      </c>
    </row>
    <row r="39" spans="1:15" x14ac:dyDescent="0.25">
      <c r="A39" t="s">
        <v>29</v>
      </c>
      <c r="B39" s="5">
        <v>45962</v>
      </c>
      <c r="D39" s="4" t="s">
        <v>74</v>
      </c>
      <c r="E39" s="4" t="str">
        <f t="shared" si="0"/>
        <v>MEHMET DAŞDEMİR - K.K.</v>
      </c>
      <c r="F39" t="str">
        <f t="shared" si="1"/>
        <v>Vadeli</v>
      </c>
      <c r="G39" s="4"/>
      <c r="H39" t="s">
        <v>41</v>
      </c>
      <c r="I39" s="4" t="s">
        <v>74</v>
      </c>
      <c r="J39" s="4">
        <v>1</v>
      </c>
      <c r="K39" s="7">
        <v>6337</v>
      </c>
      <c r="L39">
        <v>0</v>
      </c>
      <c r="N39" t="str">
        <f t="shared" si="2"/>
        <v/>
      </c>
      <c r="O39" t="str">
        <f t="shared" si="3"/>
        <v/>
      </c>
    </row>
    <row r="40" spans="1:15" x14ac:dyDescent="0.25">
      <c r="A40" t="s">
        <v>29</v>
      </c>
      <c r="B40" s="5">
        <v>45963</v>
      </c>
      <c r="D40" s="4" t="s">
        <v>75</v>
      </c>
      <c r="E40" s="4" t="str">
        <f t="shared" si="0"/>
        <v>MEHMET DAŞDEMİR - K.K.</v>
      </c>
      <c r="F40" t="str">
        <f t="shared" si="1"/>
        <v>Vadeli</v>
      </c>
      <c r="G40" s="4"/>
      <c r="H40" t="s">
        <v>33</v>
      </c>
      <c r="I40" s="4" t="s">
        <v>75</v>
      </c>
      <c r="J40" s="4">
        <v>1</v>
      </c>
      <c r="K40" s="8">
        <v>1099</v>
      </c>
      <c r="L40">
        <v>0</v>
      </c>
      <c r="N40" t="str">
        <f t="shared" si="2"/>
        <v/>
      </c>
      <c r="O40" t="str">
        <f t="shared" si="3"/>
        <v/>
      </c>
    </row>
    <row r="41" spans="1:15" x14ac:dyDescent="0.25">
      <c r="A41" t="s">
        <v>29</v>
      </c>
      <c r="B41" s="5">
        <v>45969</v>
      </c>
      <c r="D41" s="4" t="s">
        <v>76</v>
      </c>
      <c r="E41" s="4" t="str">
        <f t="shared" si="0"/>
        <v>MEHMET DAŞDEMİR - K.K.</v>
      </c>
      <c r="F41" t="str">
        <f t="shared" si="1"/>
        <v>Vadeli</v>
      </c>
      <c r="G41" s="4"/>
      <c r="H41" t="s">
        <v>42</v>
      </c>
      <c r="I41" s="4" t="s">
        <v>76</v>
      </c>
      <c r="J41" s="4">
        <v>1</v>
      </c>
      <c r="K41" s="8">
        <v>373.72</v>
      </c>
      <c r="L41">
        <v>0</v>
      </c>
      <c r="N41" t="str">
        <f t="shared" si="2"/>
        <v/>
      </c>
      <c r="O41" t="str">
        <f t="shared" si="3"/>
        <v/>
      </c>
    </row>
    <row r="42" spans="1:15" x14ac:dyDescent="0.25">
      <c r="A42" t="s">
        <v>29</v>
      </c>
      <c r="B42" s="5">
        <v>45969</v>
      </c>
      <c r="D42" s="4" t="s">
        <v>77</v>
      </c>
      <c r="E42" s="4" t="str">
        <f t="shared" si="0"/>
        <v>MEHMET DAŞDEMİR - K.K.</v>
      </c>
      <c r="F42" t="str">
        <f t="shared" si="1"/>
        <v>Vadeli</v>
      </c>
      <c r="G42" s="4"/>
      <c r="H42" t="s">
        <v>34</v>
      </c>
      <c r="I42" s="4" t="s">
        <v>77</v>
      </c>
      <c r="J42" s="4">
        <v>1</v>
      </c>
      <c r="K42" s="8">
        <v>44.9</v>
      </c>
      <c r="L42">
        <v>0</v>
      </c>
      <c r="N42" t="str">
        <f t="shared" si="2"/>
        <v/>
      </c>
      <c r="O42" t="str">
        <f t="shared" si="3"/>
        <v/>
      </c>
    </row>
    <row r="43" spans="1:15" x14ac:dyDescent="0.25">
      <c r="A43" t="s">
        <v>29</v>
      </c>
      <c r="B43" s="5">
        <v>45971</v>
      </c>
      <c r="D43" s="4" t="s">
        <v>78</v>
      </c>
      <c r="E43" s="4" t="str">
        <f t="shared" si="0"/>
        <v>MEHMET DAŞDEMİR - K.K.</v>
      </c>
      <c r="F43" t="str">
        <f t="shared" si="1"/>
        <v>Vadeli</v>
      </c>
      <c r="G43" s="4"/>
      <c r="H43" t="s">
        <v>35</v>
      </c>
      <c r="I43" s="4" t="s">
        <v>78</v>
      </c>
      <c r="J43" s="4">
        <v>1</v>
      </c>
      <c r="K43" s="8">
        <v>450.41</v>
      </c>
      <c r="L43">
        <v>0</v>
      </c>
      <c r="N43" t="str">
        <f t="shared" si="2"/>
        <v/>
      </c>
      <c r="O43" t="str">
        <f t="shared" si="3"/>
        <v/>
      </c>
    </row>
    <row r="44" spans="1:15" x14ac:dyDescent="0.25">
      <c r="A44" t="s">
        <v>29</v>
      </c>
      <c r="B44" s="5">
        <v>45972</v>
      </c>
      <c r="D44" s="4" t="s">
        <v>79</v>
      </c>
      <c r="E44" s="4" t="str">
        <f t="shared" si="0"/>
        <v/>
      </c>
      <c r="F44" t="str">
        <f t="shared" si="1"/>
        <v>Nakit</v>
      </c>
      <c r="G44" s="4" t="s">
        <v>45</v>
      </c>
      <c r="H44" t="s">
        <v>33</v>
      </c>
      <c r="I44" s="4" t="s">
        <v>79</v>
      </c>
      <c r="J44" s="4">
        <v>1</v>
      </c>
      <c r="K44" s="7">
        <v>1920</v>
      </c>
      <c r="L44">
        <v>0</v>
      </c>
      <c r="N44" t="str">
        <f t="shared" si="2"/>
        <v/>
      </c>
      <c r="O44" t="str">
        <f t="shared" si="3"/>
        <v/>
      </c>
    </row>
    <row r="45" spans="1:15" x14ac:dyDescent="0.25">
      <c r="A45" t="s">
        <v>29</v>
      </c>
      <c r="B45" s="5">
        <v>45972</v>
      </c>
      <c r="D45" s="4" t="s">
        <v>80</v>
      </c>
      <c r="E45" s="4" t="str">
        <f t="shared" si="0"/>
        <v>MEHMET DAŞDEMİR - K.K.</v>
      </c>
      <c r="F45" t="str">
        <f t="shared" si="1"/>
        <v>Vadeli</v>
      </c>
      <c r="G45" s="4"/>
      <c r="H45" t="s">
        <v>34</v>
      </c>
      <c r="I45" s="4" t="s">
        <v>80</v>
      </c>
      <c r="J45" s="4">
        <v>1</v>
      </c>
      <c r="K45" s="8">
        <v>300</v>
      </c>
      <c r="L45">
        <v>0</v>
      </c>
      <c r="N45" t="str">
        <f t="shared" si="2"/>
        <v/>
      </c>
      <c r="O45" t="str">
        <f t="shared" si="3"/>
        <v/>
      </c>
    </row>
    <row r="46" spans="1:15" x14ac:dyDescent="0.25">
      <c r="A46" t="s">
        <v>29</v>
      </c>
      <c r="B46" s="5">
        <v>45972</v>
      </c>
      <c r="D46" s="4" t="s">
        <v>81</v>
      </c>
      <c r="E46" s="4" t="str">
        <f t="shared" si="0"/>
        <v>MEHMET DAŞDEMİR - K.K.</v>
      </c>
      <c r="F46" t="str">
        <f t="shared" si="1"/>
        <v>Vadeli</v>
      </c>
      <c r="G46" s="4"/>
      <c r="H46" t="s">
        <v>41</v>
      </c>
      <c r="I46" s="4" t="s">
        <v>81</v>
      </c>
      <c r="J46" s="4">
        <v>1</v>
      </c>
      <c r="K46" s="8">
        <v>562.5</v>
      </c>
      <c r="L46">
        <v>0</v>
      </c>
      <c r="N46" t="str">
        <f t="shared" si="2"/>
        <v/>
      </c>
      <c r="O46" t="str">
        <f t="shared" si="3"/>
        <v/>
      </c>
    </row>
    <row r="47" spans="1:15" x14ac:dyDescent="0.25">
      <c r="A47" t="s">
        <v>29</v>
      </c>
      <c r="B47" s="5">
        <v>45972</v>
      </c>
      <c r="D47" s="4" t="s">
        <v>82</v>
      </c>
      <c r="E47" s="4" t="str">
        <f t="shared" si="0"/>
        <v>MEHMET DAŞDEMİR - K.K.</v>
      </c>
      <c r="F47" t="str">
        <f t="shared" si="1"/>
        <v>Vadeli</v>
      </c>
      <c r="G47" s="4"/>
      <c r="H47" t="s">
        <v>41</v>
      </c>
      <c r="I47" s="4" t="s">
        <v>82</v>
      </c>
      <c r="J47" s="4">
        <v>1</v>
      </c>
      <c r="K47" s="8">
        <v>146.22999999999999</v>
      </c>
      <c r="L47">
        <v>0</v>
      </c>
      <c r="N47" t="str">
        <f t="shared" si="2"/>
        <v/>
      </c>
      <c r="O47" t="str">
        <f t="shared" si="3"/>
        <v/>
      </c>
    </row>
    <row r="48" spans="1:15" x14ac:dyDescent="0.25">
      <c r="A48" t="s">
        <v>29</v>
      </c>
      <c r="B48" s="5">
        <v>45977</v>
      </c>
      <c r="D48" s="4" t="s">
        <v>83</v>
      </c>
      <c r="E48" s="4" t="str">
        <f t="shared" si="0"/>
        <v/>
      </c>
      <c r="F48" t="str">
        <f t="shared" si="1"/>
        <v>Nakit</v>
      </c>
      <c r="G48" s="4" t="s">
        <v>45</v>
      </c>
      <c r="H48" t="s">
        <v>41</v>
      </c>
      <c r="I48" s="4" t="s">
        <v>83</v>
      </c>
      <c r="J48" s="4">
        <v>1</v>
      </c>
      <c r="K48" s="7">
        <v>912.4</v>
      </c>
      <c r="L48">
        <v>0</v>
      </c>
      <c r="N48" t="str">
        <f t="shared" si="2"/>
        <v/>
      </c>
      <c r="O48" t="str">
        <f t="shared" si="3"/>
        <v/>
      </c>
    </row>
    <row r="49" spans="1:15" x14ac:dyDescent="0.25">
      <c r="A49" t="s">
        <v>29</v>
      </c>
      <c r="B49" s="5">
        <v>45979</v>
      </c>
      <c r="D49" s="4" t="s">
        <v>84</v>
      </c>
      <c r="E49" s="4" t="str">
        <f t="shared" si="0"/>
        <v/>
      </c>
      <c r="F49" t="str">
        <f t="shared" si="1"/>
        <v>Nakit</v>
      </c>
      <c r="G49" s="4" t="s">
        <v>45</v>
      </c>
      <c r="H49" t="s">
        <v>40</v>
      </c>
      <c r="I49" s="4" t="s">
        <v>84</v>
      </c>
      <c r="J49" s="4">
        <v>1</v>
      </c>
      <c r="K49" s="7">
        <v>1500</v>
      </c>
      <c r="L49">
        <v>0</v>
      </c>
      <c r="N49" t="str">
        <f t="shared" si="2"/>
        <v/>
      </c>
      <c r="O49" t="str">
        <f t="shared" si="3"/>
        <v/>
      </c>
    </row>
    <row r="50" spans="1:15" x14ac:dyDescent="0.25">
      <c r="A50" t="s">
        <v>29</v>
      </c>
      <c r="B50" s="5">
        <v>45985</v>
      </c>
      <c r="D50" s="4" t="s">
        <v>85</v>
      </c>
      <c r="E50" s="4" t="str">
        <f t="shared" si="0"/>
        <v>MEHMET DAŞDEMİR - K.K.</v>
      </c>
      <c r="F50" t="str">
        <f t="shared" si="1"/>
        <v>Vadeli</v>
      </c>
      <c r="G50" s="4"/>
      <c r="H50" t="s">
        <v>39</v>
      </c>
      <c r="I50" s="4" t="s">
        <v>85</v>
      </c>
      <c r="J50" s="4">
        <v>1</v>
      </c>
      <c r="K50" s="8">
        <v>3138</v>
      </c>
      <c r="L50">
        <v>0</v>
      </c>
      <c r="N50" t="str">
        <f t="shared" si="2"/>
        <v/>
      </c>
      <c r="O50" t="str">
        <f t="shared" si="3"/>
        <v/>
      </c>
    </row>
    <row r="51" spans="1:15" x14ac:dyDescent="0.25">
      <c r="A51" t="s">
        <v>29</v>
      </c>
      <c r="B51" s="5">
        <v>45985</v>
      </c>
      <c r="D51" s="4" t="s">
        <v>86</v>
      </c>
      <c r="E51" s="4" t="str">
        <f t="shared" si="0"/>
        <v/>
      </c>
      <c r="F51" t="str">
        <f t="shared" si="1"/>
        <v>Nakit</v>
      </c>
      <c r="G51" s="4" t="s">
        <v>45</v>
      </c>
      <c r="H51" t="s">
        <v>43</v>
      </c>
      <c r="I51" s="4" t="s">
        <v>86</v>
      </c>
      <c r="J51" s="4">
        <v>1</v>
      </c>
      <c r="K51" s="7">
        <v>415</v>
      </c>
      <c r="L51">
        <v>0</v>
      </c>
      <c r="N51" t="str">
        <f t="shared" si="2"/>
        <v/>
      </c>
      <c r="O51" t="str">
        <f t="shared" si="3"/>
        <v/>
      </c>
    </row>
    <row r="52" spans="1:15" x14ac:dyDescent="0.25">
      <c r="A52" t="s">
        <v>29</v>
      </c>
      <c r="B52" s="5">
        <v>45985</v>
      </c>
      <c r="D52" s="4" t="s">
        <v>87</v>
      </c>
      <c r="E52" s="4" t="str">
        <f t="shared" si="0"/>
        <v/>
      </c>
      <c r="F52" t="str">
        <f t="shared" si="1"/>
        <v>Nakit</v>
      </c>
      <c r="G52" s="4" t="s">
        <v>45</v>
      </c>
      <c r="H52" t="s">
        <v>43</v>
      </c>
      <c r="I52" s="4" t="s">
        <v>87</v>
      </c>
      <c r="J52" s="4">
        <v>1</v>
      </c>
      <c r="K52" s="7">
        <v>490</v>
      </c>
      <c r="L52">
        <v>0</v>
      </c>
      <c r="N52" t="str">
        <f t="shared" si="2"/>
        <v/>
      </c>
      <c r="O52" t="str">
        <f t="shared" si="3"/>
        <v/>
      </c>
    </row>
    <row r="53" spans="1:15" x14ac:dyDescent="0.25">
      <c r="A53" t="s">
        <v>29</v>
      </c>
      <c r="B53" s="5">
        <v>45985</v>
      </c>
      <c r="D53" s="4" t="s">
        <v>88</v>
      </c>
      <c r="E53" s="4" t="str">
        <f t="shared" si="0"/>
        <v/>
      </c>
      <c r="F53" t="str">
        <f t="shared" si="1"/>
        <v>Nakit</v>
      </c>
      <c r="G53" s="4" t="s">
        <v>45</v>
      </c>
      <c r="H53" t="s">
        <v>41</v>
      </c>
      <c r="I53" s="4" t="s">
        <v>88</v>
      </c>
      <c r="J53" s="4">
        <v>1</v>
      </c>
      <c r="K53" s="7">
        <v>665</v>
      </c>
      <c r="L53">
        <v>0</v>
      </c>
      <c r="N53" t="str">
        <f t="shared" si="2"/>
        <v/>
      </c>
      <c r="O53" t="str">
        <f t="shared" si="3"/>
        <v/>
      </c>
    </row>
    <row r="54" spans="1:15" x14ac:dyDescent="0.25">
      <c r="A54" t="s">
        <v>29</v>
      </c>
      <c r="B54" s="5">
        <v>45989</v>
      </c>
      <c r="D54" s="4" t="s">
        <v>89</v>
      </c>
      <c r="E54" s="4" t="str">
        <f t="shared" si="0"/>
        <v/>
      </c>
      <c r="F54" t="str">
        <f t="shared" si="1"/>
        <v>Nakit</v>
      </c>
      <c r="G54" s="4" t="s">
        <v>45</v>
      </c>
      <c r="H54" t="s">
        <v>42</v>
      </c>
      <c r="I54" s="4" t="s">
        <v>89</v>
      </c>
      <c r="J54" s="4">
        <v>1</v>
      </c>
      <c r="K54" s="7">
        <v>800</v>
      </c>
      <c r="L54">
        <v>0</v>
      </c>
      <c r="N54" t="str">
        <f t="shared" si="2"/>
        <v/>
      </c>
      <c r="O54" t="str">
        <f t="shared" si="3"/>
        <v/>
      </c>
    </row>
    <row r="55" spans="1:15" x14ac:dyDescent="0.25">
      <c r="A55" t="s">
        <v>29</v>
      </c>
      <c r="B55" s="5">
        <v>45990</v>
      </c>
      <c r="D55" s="4" t="s">
        <v>90</v>
      </c>
      <c r="E55" s="4" t="str">
        <f t="shared" si="0"/>
        <v>MEHMET DAŞDEMİR - K.K.</v>
      </c>
      <c r="F55" t="str">
        <f t="shared" si="1"/>
        <v>Vadeli</v>
      </c>
      <c r="G55" s="4"/>
      <c r="H55" t="s">
        <v>41</v>
      </c>
      <c r="I55" s="4" t="s">
        <v>90</v>
      </c>
      <c r="J55" s="4">
        <v>1</v>
      </c>
      <c r="K55" s="8">
        <v>632.16999999999996</v>
      </c>
      <c r="L55">
        <v>0</v>
      </c>
      <c r="N55" t="str">
        <f t="shared" si="2"/>
        <v/>
      </c>
      <c r="O55" t="str">
        <f t="shared" si="3"/>
        <v/>
      </c>
    </row>
    <row r="56" spans="1:15" x14ac:dyDescent="0.25">
      <c r="A56" t="s">
        <v>29</v>
      </c>
      <c r="B56" s="5">
        <v>45992</v>
      </c>
      <c r="D56" s="4" t="s">
        <v>91</v>
      </c>
      <c r="E56" s="4" t="str">
        <f t="shared" si="0"/>
        <v/>
      </c>
      <c r="F56" t="str">
        <f t="shared" si="1"/>
        <v>Nakit</v>
      </c>
      <c r="G56" s="4" t="s">
        <v>45</v>
      </c>
      <c r="H56" t="s">
        <v>31</v>
      </c>
      <c r="I56" s="4" t="s">
        <v>91</v>
      </c>
      <c r="J56" s="4">
        <v>1</v>
      </c>
      <c r="K56" s="7">
        <v>22000</v>
      </c>
      <c r="L56">
        <v>0</v>
      </c>
      <c r="N56" t="str">
        <f t="shared" si="2"/>
        <v/>
      </c>
      <c r="O56" t="str">
        <f t="shared" si="3"/>
        <v/>
      </c>
    </row>
    <row r="57" spans="1:15" x14ac:dyDescent="0.25">
      <c r="A57" t="s">
        <v>29</v>
      </c>
      <c r="B57" s="5">
        <v>45995</v>
      </c>
      <c r="D57" s="4" t="s">
        <v>92</v>
      </c>
      <c r="E57" s="4" t="str">
        <f t="shared" si="0"/>
        <v/>
      </c>
      <c r="F57" t="str">
        <f t="shared" si="1"/>
        <v>Nakit</v>
      </c>
      <c r="G57" s="4" t="s">
        <v>45</v>
      </c>
      <c r="H57" t="s">
        <v>34</v>
      </c>
      <c r="I57" s="4" t="s">
        <v>92</v>
      </c>
      <c r="J57" s="4">
        <v>1</v>
      </c>
      <c r="K57" s="7">
        <v>2000</v>
      </c>
      <c r="L57">
        <v>0</v>
      </c>
      <c r="N57" t="str">
        <f t="shared" si="2"/>
        <v/>
      </c>
      <c r="O57" t="str">
        <f t="shared" si="3"/>
        <v/>
      </c>
    </row>
    <row r="58" spans="1:15" x14ac:dyDescent="0.25">
      <c r="A58" t="s">
        <v>29</v>
      </c>
      <c r="B58" s="5">
        <v>45997</v>
      </c>
      <c r="D58" s="4" t="s">
        <v>85</v>
      </c>
      <c r="E58" s="4" t="str">
        <f t="shared" si="0"/>
        <v>MEHMET DAŞDEMİR - K.K.</v>
      </c>
      <c r="F58" t="str">
        <f t="shared" si="1"/>
        <v>Vadeli</v>
      </c>
      <c r="G58" s="4"/>
      <c r="H58" t="s">
        <v>39</v>
      </c>
      <c r="I58" s="4" t="s">
        <v>85</v>
      </c>
      <c r="J58" s="4">
        <v>1</v>
      </c>
      <c r="K58" s="8">
        <v>8660.44</v>
      </c>
      <c r="L58">
        <v>0</v>
      </c>
      <c r="N58" t="str">
        <f t="shared" si="2"/>
        <v/>
      </c>
      <c r="O58" t="str">
        <f t="shared" si="3"/>
        <v/>
      </c>
    </row>
    <row r="59" spans="1:15" x14ac:dyDescent="0.25">
      <c r="A59" t="s">
        <v>29</v>
      </c>
      <c r="B59" s="5">
        <v>46000</v>
      </c>
      <c r="D59" s="4" t="s">
        <v>93</v>
      </c>
      <c r="E59" s="4" t="str">
        <f t="shared" si="0"/>
        <v>MEHMET DAŞDEMİR - K.K.</v>
      </c>
      <c r="F59" t="str">
        <f t="shared" si="1"/>
        <v>Vadeli</v>
      </c>
      <c r="G59" s="4"/>
      <c r="H59" t="s">
        <v>34</v>
      </c>
      <c r="I59" s="4" t="s">
        <v>93</v>
      </c>
      <c r="J59" s="4">
        <v>1</v>
      </c>
      <c r="K59" s="8">
        <v>300</v>
      </c>
      <c r="L59">
        <v>0</v>
      </c>
      <c r="N59" t="str">
        <f t="shared" si="2"/>
        <v/>
      </c>
      <c r="O59" t="str">
        <f t="shared" si="3"/>
        <v/>
      </c>
    </row>
    <row r="60" spans="1:15" x14ac:dyDescent="0.25">
      <c r="A60" t="s">
        <v>29</v>
      </c>
      <c r="B60" s="5">
        <v>46000</v>
      </c>
      <c r="D60" s="4" t="s">
        <v>94</v>
      </c>
      <c r="E60" s="4" t="str">
        <f t="shared" si="0"/>
        <v>MEHMET DAŞDEMİR - K.K.</v>
      </c>
      <c r="F60" t="str">
        <f t="shared" si="1"/>
        <v>Vadeli</v>
      </c>
      <c r="G60" s="4"/>
      <c r="H60" t="s">
        <v>33</v>
      </c>
      <c r="I60" s="4" t="s">
        <v>94</v>
      </c>
      <c r="J60" s="4">
        <v>1</v>
      </c>
      <c r="K60" s="8">
        <v>1850</v>
      </c>
      <c r="L60">
        <v>0</v>
      </c>
      <c r="N60" t="str">
        <f t="shared" si="2"/>
        <v/>
      </c>
      <c r="O60" t="str">
        <f t="shared" si="3"/>
        <v/>
      </c>
    </row>
    <row r="61" spans="1:15" x14ac:dyDescent="0.25">
      <c r="A61" t="s">
        <v>29</v>
      </c>
      <c r="B61" s="5">
        <v>46002</v>
      </c>
      <c r="D61" s="4" t="s">
        <v>85</v>
      </c>
      <c r="E61" s="4" t="str">
        <f t="shared" si="0"/>
        <v>MEHMET DAŞDEMİR - K.K.</v>
      </c>
      <c r="F61" t="str">
        <f t="shared" si="1"/>
        <v>Vadeli</v>
      </c>
      <c r="G61" s="4"/>
      <c r="H61" t="s">
        <v>39</v>
      </c>
      <c r="I61" s="4" t="s">
        <v>85</v>
      </c>
      <c r="J61" s="4">
        <v>1</v>
      </c>
      <c r="K61" s="8">
        <v>586.79999999999995</v>
      </c>
      <c r="L61">
        <v>0</v>
      </c>
      <c r="N61" t="str">
        <f t="shared" si="2"/>
        <v/>
      </c>
      <c r="O61" t="str">
        <f t="shared" si="3"/>
        <v/>
      </c>
    </row>
    <row r="62" spans="1:15" x14ac:dyDescent="0.25">
      <c r="A62" t="s">
        <v>29</v>
      </c>
      <c r="B62" s="5">
        <v>46007</v>
      </c>
      <c r="D62" s="4" t="s">
        <v>95</v>
      </c>
      <c r="E62" s="4" t="str">
        <f t="shared" si="0"/>
        <v/>
      </c>
      <c r="F62" t="str">
        <f t="shared" si="1"/>
        <v>Nakit</v>
      </c>
      <c r="G62" s="4" t="s">
        <v>45</v>
      </c>
      <c r="H62" t="s">
        <v>40</v>
      </c>
      <c r="I62" s="4" t="s">
        <v>95</v>
      </c>
      <c r="J62" s="4">
        <v>1</v>
      </c>
      <c r="K62" s="7">
        <v>1500</v>
      </c>
      <c r="L62">
        <v>0</v>
      </c>
      <c r="N62" t="str">
        <f t="shared" si="2"/>
        <v/>
      </c>
      <c r="O62" t="str">
        <f t="shared" si="3"/>
        <v/>
      </c>
    </row>
    <row r="63" spans="1:15" x14ac:dyDescent="0.25">
      <c r="A63" t="s">
        <v>29</v>
      </c>
      <c r="B63" s="5">
        <v>46007</v>
      </c>
      <c r="D63" s="4" t="s">
        <v>96</v>
      </c>
      <c r="E63" s="4" t="str">
        <f t="shared" si="0"/>
        <v>MEHMET DAŞDEMİR - K.K.</v>
      </c>
      <c r="F63" t="str">
        <f t="shared" si="1"/>
        <v>Vadeli</v>
      </c>
      <c r="G63" s="4"/>
      <c r="H63" t="s">
        <v>33</v>
      </c>
      <c r="I63" s="4" t="s">
        <v>96</v>
      </c>
      <c r="J63" s="4">
        <v>5</v>
      </c>
      <c r="K63" s="8">
        <v>100</v>
      </c>
      <c r="L63">
        <v>0</v>
      </c>
      <c r="N63" t="str">
        <f t="shared" si="2"/>
        <v/>
      </c>
      <c r="O63" t="str">
        <f t="shared" si="3"/>
        <v/>
      </c>
    </row>
    <row r="64" spans="1:15" x14ac:dyDescent="0.25">
      <c r="A64" t="s">
        <v>29</v>
      </c>
      <c r="B64" s="5">
        <v>46011</v>
      </c>
      <c r="D64" s="4" t="s">
        <v>96</v>
      </c>
      <c r="E64" s="4" t="str">
        <f t="shared" si="0"/>
        <v>MEHMET DAŞDEMİR - K.K.</v>
      </c>
      <c r="F64" t="str">
        <f t="shared" si="1"/>
        <v>Vadeli</v>
      </c>
      <c r="G64" s="4"/>
      <c r="H64" t="s">
        <v>33</v>
      </c>
      <c r="I64" s="4" t="s">
        <v>96</v>
      </c>
      <c r="J64" s="4">
        <v>12</v>
      </c>
      <c r="K64" s="8">
        <v>125</v>
      </c>
      <c r="L64">
        <v>0</v>
      </c>
      <c r="N64" t="str">
        <f t="shared" si="2"/>
        <v/>
      </c>
      <c r="O64" t="str">
        <f t="shared" si="3"/>
        <v/>
      </c>
    </row>
    <row r="65" spans="1:15" x14ac:dyDescent="0.25">
      <c r="A65" t="s">
        <v>29</v>
      </c>
      <c r="B65" s="5">
        <v>46013</v>
      </c>
      <c r="D65" s="4" t="s">
        <v>97</v>
      </c>
      <c r="E65" s="4" t="str">
        <f t="shared" si="0"/>
        <v>MEHMET DAŞDEMİR - K.K.</v>
      </c>
      <c r="F65" t="str">
        <f t="shared" si="1"/>
        <v>Vadeli</v>
      </c>
      <c r="G65" s="4"/>
      <c r="H65" t="s">
        <v>33</v>
      </c>
      <c r="I65" s="4" t="s">
        <v>97</v>
      </c>
      <c r="J65" s="4">
        <v>5</v>
      </c>
      <c r="K65" s="8">
        <v>175</v>
      </c>
      <c r="L65">
        <v>0</v>
      </c>
      <c r="N65" t="str">
        <f t="shared" si="2"/>
        <v/>
      </c>
      <c r="O65" t="str">
        <f t="shared" si="3"/>
        <v/>
      </c>
    </row>
    <row r="66" spans="1:15" x14ac:dyDescent="0.25">
      <c r="A66" t="s">
        <v>29</v>
      </c>
      <c r="B66" s="5">
        <v>46013</v>
      </c>
      <c r="D66" s="4" t="s">
        <v>98</v>
      </c>
      <c r="E66" s="4" t="str">
        <f t="shared" si="0"/>
        <v>MEHMET DAŞDEMİR - K.K.</v>
      </c>
      <c r="F66" t="str">
        <f t="shared" si="1"/>
        <v>Vadeli</v>
      </c>
      <c r="G66" s="4"/>
      <c r="H66" t="s">
        <v>33</v>
      </c>
      <c r="I66" s="4" t="s">
        <v>98</v>
      </c>
      <c r="J66" s="4">
        <v>3</v>
      </c>
      <c r="K66" s="8">
        <v>12</v>
      </c>
      <c r="L66">
        <v>0</v>
      </c>
      <c r="N66" t="str">
        <f t="shared" si="2"/>
        <v/>
      </c>
      <c r="O66" t="str">
        <f t="shared" si="3"/>
        <v/>
      </c>
    </row>
    <row r="67" spans="1:15" x14ac:dyDescent="0.25">
      <c r="A67" t="s">
        <v>29</v>
      </c>
      <c r="B67" s="5">
        <v>46013</v>
      </c>
      <c r="D67" s="4" t="s">
        <v>99</v>
      </c>
      <c r="E67" s="4" t="str">
        <f t="shared" ref="E67:E130" si="4">IF(F67="Nakit","","MEHMET DAŞDEMİR - K.K.")</f>
        <v>MEHMET DAŞDEMİR - K.K.</v>
      </c>
      <c r="F67" t="str">
        <f t="shared" ref="F67:F130" si="5">IF(G67="TL KASA","Nakit","Vadeli")</f>
        <v>Vadeli</v>
      </c>
      <c r="G67" s="4"/>
      <c r="H67" t="s">
        <v>33</v>
      </c>
      <c r="I67" s="4" t="s">
        <v>99</v>
      </c>
      <c r="J67" s="4">
        <v>1</v>
      </c>
      <c r="K67" s="7">
        <v>5350</v>
      </c>
      <c r="L67">
        <v>0</v>
      </c>
      <c r="N67" t="str">
        <f t="shared" ref="N67:N130" si="6">IF(G67="NAKİT", "Kasa", IF(G67="K.K.", "Banka", ""))</f>
        <v/>
      </c>
      <c r="O67" t="str">
        <f t="shared" ref="O67:O130" si="7">IF(N67="Kasa", "TL KASA", IF(N67="Banka", "MEHMET DAŞDEMİR - K.K.", ""))</f>
        <v/>
      </c>
    </row>
    <row r="68" spans="1:15" x14ac:dyDescent="0.25">
      <c r="A68" t="s">
        <v>29</v>
      </c>
      <c r="B68" s="6">
        <v>46017</v>
      </c>
      <c r="D68" s="4" t="s">
        <v>100</v>
      </c>
      <c r="E68" s="4" t="str">
        <f t="shared" si="4"/>
        <v/>
      </c>
      <c r="F68" t="str">
        <f t="shared" si="5"/>
        <v>Nakit</v>
      </c>
      <c r="G68" s="4" t="s">
        <v>45</v>
      </c>
      <c r="H68" t="s">
        <v>44</v>
      </c>
      <c r="I68" s="4" t="s">
        <v>100</v>
      </c>
      <c r="J68" s="4">
        <v>1</v>
      </c>
      <c r="K68" s="7">
        <v>441</v>
      </c>
      <c r="L68">
        <v>0</v>
      </c>
      <c r="N68" t="str">
        <f t="shared" si="6"/>
        <v/>
      </c>
      <c r="O68" t="str">
        <f t="shared" si="7"/>
        <v/>
      </c>
    </row>
    <row r="69" spans="1:15" x14ac:dyDescent="0.25">
      <c r="A69" t="s">
        <v>29</v>
      </c>
      <c r="B69" s="5">
        <v>46017</v>
      </c>
      <c r="D69" s="4" t="s">
        <v>101</v>
      </c>
      <c r="E69" s="4" t="str">
        <f t="shared" si="4"/>
        <v/>
      </c>
      <c r="F69" t="str">
        <f t="shared" si="5"/>
        <v>Nakit</v>
      </c>
      <c r="G69" s="4" t="s">
        <v>45</v>
      </c>
      <c r="H69" t="s">
        <v>44</v>
      </c>
      <c r="I69" s="4" t="s">
        <v>101</v>
      </c>
      <c r="J69" s="4">
        <v>1</v>
      </c>
      <c r="K69" s="7">
        <v>441</v>
      </c>
      <c r="L69">
        <v>0</v>
      </c>
      <c r="N69" t="str">
        <f t="shared" si="6"/>
        <v/>
      </c>
      <c r="O69" t="str">
        <f t="shared" si="7"/>
        <v/>
      </c>
    </row>
    <row r="70" spans="1:15" x14ac:dyDescent="0.25">
      <c r="A70" t="s">
        <v>29</v>
      </c>
      <c r="B70" s="5">
        <v>46020</v>
      </c>
      <c r="D70" s="4" t="s">
        <v>102</v>
      </c>
      <c r="E70" s="4" t="str">
        <f t="shared" si="4"/>
        <v/>
      </c>
      <c r="F70" t="str">
        <f t="shared" si="5"/>
        <v>Nakit</v>
      </c>
      <c r="G70" s="4" t="s">
        <v>45</v>
      </c>
      <c r="H70" t="s">
        <v>34</v>
      </c>
      <c r="I70" s="4" t="s">
        <v>102</v>
      </c>
      <c r="J70" s="4">
        <v>1</v>
      </c>
      <c r="K70" s="7">
        <v>2500</v>
      </c>
      <c r="L70">
        <v>0</v>
      </c>
      <c r="N70" t="str">
        <f t="shared" si="6"/>
        <v/>
      </c>
      <c r="O70" t="str">
        <f t="shared" si="7"/>
        <v/>
      </c>
    </row>
    <row r="71" spans="1:15" x14ac:dyDescent="0.25">
      <c r="A71" t="s">
        <v>29</v>
      </c>
      <c r="B71" s="5">
        <v>46020</v>
      </c>
      <c r="D71" s="4" t="s">
        <v>88</v>
      </c>
      <c r="E71" s="4" t="str">
        <f t="shared" si="4"/>
        <v/>
      </c>
      <c r="F71" t="str">
        <f t="shared" si="5"/>
        <v>Nakit</v>
      </c>
      <c r="G71" s="4" t="s">
        <v>45</v>
      </c>
      <c r="H71" t="s">
        <v>41</v>
      </c>
      <c r="I71" s="4" t="s">
        <v>88</v>
      </c>
      <c r="J71" s="4">
        <v>1</v>
      </c>
      <c r="K71" s="7">
        <v>665</v>
      </c>
      <c r="L71">
        <v>0</v>
      </c>
      <c r="N71" t="str">
        <f t="shared" si="6"/>
        <v/>
      </c>
      <c r="O71" t="str">
        <f t="shared" si="7"/>
        <v/>
      </c>
    </row>
    <row r="72" spans="1:15" x14ac:dyDescent="0.25">
      <c r="A72" t="s">
        <v>29</v>
      </c>
      <c r="B72" s="5">
        <v>46024</v>
      </c>
      <c r="D72" s="4" t="s">
        <v>103</v>
      </c>
      <c r="E72" s="4" t="str">
        <f t="shared" si="4"/>
        <v/>
      </c>
      <c r="F72" t="str">
        <f t="shared" si="5"/>
        <v>Nakit</v>
      </c>
      <c r="G72" s="4" t="s">
        <v>45</v>
      </c>
      <c r="H72" t="s">
        <v>31</v>
      </c>
      <c r="I72" s="4" t="s">
        <v>103</v>
      </c>
      <c r="J72" s="4">
        <v>1</v>
      </c>
      <c r="K72" s="7">
        <v>22000</v>
      </c>
      <c r="L72">
        <v>0</v>
      </c>
      <c r="N72" t="str">
        <f t="shared" si="6"/>
        <v/>
      </c>
      <c r="O72" t="str">
        <f t="shared" si="7"/>
        <v/>
      </c>
    </row>
    <row r="73" spans="1:15" x14ac:dyDescent="0.25">
      <c r="A73" t="s">
        <v>29</v>
      </c>
      <c r="B73" s="5">
        <v>46038</v>
      </c>
      <c r="D73" s="4" t="s">
        <v>84</v>
      </c>
      <c r="E73" s="4" t="str">
        <f t="shared" si="4"/>
        <v/>
      </c>
      <c r="F73" t="str">
        <f t="shared" si="5"/>
        <v>Nakit</v>
      </c>
      <c r="G73" s="4" t="s">
        <v>45</v>
      </c>
      <c r="H73" t="s">
        <v>40</v>
      </c>
      <c r="I73" s="4" t="s">
        <v>84</v>
      </c>
      <c r="J73" s="4">
        <v>1</v>
      </c>
      <c r="K73" s="7">
        <v>1500</v>
      </c>
      <c r="L73">
        <v>0</v>
      </c>
      <c r="N73" t="str">
        <f t="shared" si="6"/>
        <v/>
      </c>
      <c r="O73" t="str">
        <f t="shared" si="7"/>
        <v/>
      </c>
    </row>
    <row r="74" spans="1:15" x14ac:dyDescent="0.25">
      <c r="A74" t="s">
        <v>29</v>
      </c>
      <c r="B74" s="5">
        <v>46048</v>
      </c>
      <c r="D74" s="4" t="s">
        <v>101</v>
      </c>
      <c r="E74" s="4" t="str">
        <f t="shared" si="4"/>
        <v/>
      </c>
      <c r="F74" t="str">
        <f t="shared" si="5"/>
        <v>Nakit</v>
      </c>
      <c r="G74" s="4" t="s">
        <v>45</v>
      </c>
      <c r="H74" t="s">
        <v>44</v>
      </c>
      <c r="I74" s="4" t="s">
        <v>101</v>
      </c>
      <c r="J74" s="4">
        <v>1</v>
      </c>
      <c r="K74" s="7">
        <v>441</v>
      </c>
      <c r="L74">
        <v>0</v>
      </c>
      <c r="N74" t="str">
        <f t="shared" si="6"/>
        <v/>
      </c>
      <c r="O74" t="str">
        <f t="shared" si="7"/>
        <v/>
      </c>
    </row>
    <row r="75" spans="1:15" x14ac:dyDescent="0.25">
      <c r="A75" t="s">
        <v>29</v>
      </c>
      <c r="B75" s="6">
        <v>46049</v>
      </c>
      <c r="D75" s="4" t="s">
        <v>104</v>
      </c>
      <c r="E75" s="4" t="str">
        <f t="shared" si="4"/>
        <v/>
      </c>
      <c r="F75" t="str">
        <f t="shared" si="5"/>
        <v>Nakit</v>
      </c>
      <c r="G75" s="4" t="s">
        <v>45</v>
      </c>
      <c r="H75" t="s">
        <v>41</v>
      </c>
      <c r="I75" s="4" t="s">
        <v>104</v>
      </c>
      <c r="J75" s="4">
        <v>1</v>
      </c>
      <c r="K75" s="7">
        <v>12855.54</v>
      </c>
      <c r="L75">
        <v>0</v>
      </c>
      <c r="N75" t="str">
        <f t="shared" si="6"/>
        <v/>
      </c>
      <c r="O75" t="str">
        <f t="shared" si="7"/>
        <v/>
      </c>
    </row>
    <row r="76" spans="1:15" x14ac:dyDescent="0.25">
      <c r="A76" t="s">
        <v>29</v>
      </c>
      <c r="B76" s="6">
        <v>46049</v>
      </c>
      <c r="D76" s="4" t="s">
        <v>88</v>
      </c>
      <c r="E76" s="4" t="str">
        <f t="shared" si="4"/>
        <v/>
      </c>
      <c r="F76" t="str">
        <f t="shared" si="5"/>
        <v>Nakit</v>
      </c>
      <c r="G76" s="4" t="s">
        <v>45</v>
      </c>
      <c r="H76" t="s">
        <v>41</v>
      </c>
      <c r="I76" s="4" t="s">
        <v>88</v>
      </c>
      <c r="J76" s="4">
        <v>1</v>
      </c>
      <c r="K76" s="7">
        <v>791</v>
      </c>
      <c r="L76">
        <v>0</v>
      </c>
      <c r="N76" t="str">
        <f t="shared" si="6"/>
        <v/>
      </c>
      <c r="O76" t="str">
        <f t="shared" si="7"/>
        <v/>
      </c>
    </row>
    <row r="77" spans="1:15" x14ac:dyDescent="0.25">
      <c r="A77" t="s">
        <v>29</v>
      </c>
      <c r="B77" s="5">
        <v>46055</v>
      </c>
      <c r="D77" s="4" t="s">
        <v>105</v>
      </c>
      <c r="E77" s="4" t="str">
        <f t="shared" si="4"/>
        <v/>
      </c>
      <c r="F77" t="str">
        <f t="shared" si="5"/>
        <v>Nakit</v>
      </c>
      <c r="G77" s="4" t="s">
        <v>45</v>
      </c>
      <c r="H77" t="s">
        <v>31</v>
      </c>
      <c r="I77" s="4" t="s">
        <v>105</v>
      </c>
      <c r="J77" s="4">
        <v>1</v>
      </c>
      <c r="K77" s="7">
        <v>22000</v>
      </c>
      <c r="L77">
        <v>0</v>
      </c>
      <c r="N77" t="str">
        <f t="shared" si="6"/>
        <v/>
      </c>
      <c r="O77" t="str">
        <f t="shared" si="7"/>
        <v/>
      </c>
    </row>
    <row r="78" spans="1:15" x14ac:dyDescent="0.25">
      <c r="A78" t="s">
        <v>29</v>
      </c>
      <c r="B78" s="5">
        <v>46060</v>
      </c>
      <c r="D78" s="4" t="s">
        <v>97</v>
      </c>
      <c r="E78" s="4" t="str">
        <f t="shared" si="4"/>
        <v>MEHMET DAŞDEMİR - K.K.</v>
      </c>
      <c r="F78" t="str">
        <f t="shared" si="5"/>
        <v>Vadeli</v>
      </c>
      <c r="G78" s="4"/>
      <c r="H78" t="s">
        <v>33</v>
      </c>
      <c r="I78" s="4" t="s">
        <v>97</v>
      </c>
      <c r="J78" s="4">
        <v>1</v>
      </c>
      <c r="K78" s="8">
        <v>880</v>
      </c>
      <c r="L78">
        <v>0</v>
      </c>
      <c r="N78" t="str">
        <f t="shared" si="6"/>
        <v/>
      </c>
      <c r="O78" t="str">
        <f t="shared" si="7"/>
        <v/>
      </c>
    </row>
    <row r="79" spans="1:15" x14ac:dyDescent="0.25">
      <c r="A79" t="s">
        <v>29</v>
      </c>
      <c r="B79" s="5">
        <v>46063</v>
      </c>
      <c r="D79" s="4" t="s">
        <v>106</v>
      </c>
      <c r="E79" s="4" t="str">
        <f t="shared" si="4"/>
        <v/>
      </c>
      <c r="F79" t="str">
        <f t="shared" si="5"/>
        <v>Nakit</v>
      </c>
      <c r="G79" s="4" t="s">
        <v>45</v>
      </c>
      <c r="H79" t="s">
        <v>34</v>
      </c>
      <c r="I79" s="4" t="s">
        <v>106</v>
      </c>
      <c r="J79" s="4">
        <v>1</v>
      </c>
      <c r="K79" s="7">
        <v>4400</v>
      </c>
      <c r="L79">
        <v>0</v>
      </c>
      <c r="N79" t="str">
        <f t="shared" si="6"/>
        <v/>
      </c>
      <c r="O79" t="str">
        <f t="shared" si="7"/>
        <v/>
      </c>
    </row>
    <row r="80" spans="1:15" x14ac:dyDescent="0.25">
      <c r="A80" t="s">
        <v>29</v>
      </c>
      <c r="B80" s="5">
        <v>46070</v>
      </c>
      <c r="D80" s="4" t="s">
        <v>107</v>
      </c>
      <c r="E80" s="4" t="str">
        <f t="shared" si="4"/>
        <v/>
      </c>
      <c r="F80" t="str">
        <f t="shared" si="5"/>
        <v>Nakit</v>
      </c>
      <c r="G80" s="4" t="s">
        <v>45</v>
      </c>
      <c r="H80" t="s">
        <v>40</v>
      </c>
      <c r="I80" s="4" t="s">
        <v>107</v>
      </c>
      <c r="J80" s="4">
        <v>1</v>
      </c>
      <c r="K80" s="7">
        <v>2000</v>
      </c>
      <c r="L80">
        <v>0</v>
      </c>
      <c r="N80" t="str">
        <f t="shared" si="6"/>
        <v/>
      </c>
      <c r="O80" t="str">
        <f t="shared" si="7"/>
        <v/>
      </c>
    </row>
    <row r="81" spans="1:15" x14ac:dyDescent="0.25">
      <c r="A81" t="s">
        <v>29</v>
      </c>
      <c r="B81" s="5">
        <v>46070</v>
      </c>
      <c r="D81" s="4" t="s">
        <v>108</v>
      </c>
      <c r="E81" s="4" t="str">
        <f t="shared" si="4"/>
        <v/>
      </c>
      <c r="F81" t="str">
        <f t="shared" si="5"/>
        <v>Nakit</v>
      </c>
      <c r="G81" s="4" t="s">
        <v>45</v>
      </c>
      <c r="H81" t="s">
        <v>41</v>
      </c>
      <c r="I81" s="4" t="s">
        <v>108</v>
      </c>
      <c r="J81" s="4">
        <v>1</v>
      </c>
      <c r="K81" s="8">
        <v>1085.2</v>
      </c>
      <c r="L81">
        <v>0</v>
      </c>
      <c r="N81" t="str">
        <f t="shared" si="6"/>
        <v/>
      </c>
      <c r="O81" t="str">
        <f t="shared" si="7"/>
        <v/>
      </c>
    </row>
    <row r="82" spans="1:15" x14ac:dyDescent="0.25">
      <c r="A82" t="s">
        <v>29</v>
      </c>
      <c r="B82" s="5">
        <v>46077</v>
      </c>
      <c r="D82" s="4" t="s">
        <v>109</v>
      </c>
      <c r="E82" s="4" t="str">
        <f t="shared" si="4"/>
        <v>MEHMET DAŞDEMİR - K.K.</v>
      </c>
      <c r="F82" t="str">
        <f t="shared" si="5"/>
        <v>Vadeli</v>
      </c>
      <c r="G82" s="4"/>
      <c r="H82" t="s">
        <v>39</v>
      </c>
      <c r="I82" s="4" t="s">
        <v>109</v>
      </c>
      <c r="J82" s="4">
        <v>10</v>
      </c>
      <c r="K82" s="7">
        <v>84</v>
      </c>
      <c r="L82">
        <v>0</v>
      </c>
      <c r="N82" t="str">
        <f t="shared" si="6"/>
        <v/>
      </c>
      <c r="O82" t="str">
        <f t="shared" si="7"/>
        <v/>
      </c>
    </row>
    <row r="83" spans="1:15" x14ac:dyDescent="0.25">
      <c r="A83" t="s">
        <v>29</v>
      </c>
      <c r="B83" s="5">
        <v>46078</v>
      </c>
      <c r="D83" s="4" t="s">
        <v>110</v>
      </c>
      <c r="E83" s="4" t="str">
        <f t="shared" si="4"/>
        <v/>
      </c>
      <c r="F83" t="str">
        <f t="shared" si="5"/>
        <v>Nakit</v>
      </c>
      <c r="G83" s="4" t="s">
        <v>45</v>
      </c>
      <c r="H83" t="s">
        <v>34</v>
      </c>
      <c r="I83" s="4" t="s">
        <v>110</v>
      </c>
      <c r="J83" s="4">
        <v>1</v>
      </c>
      <c r="K83" s="7">
        <v>280</v>
      </c>
      <c r="L83">
        <v>0</v>
      </c>
      <c r="N83" t="str">
        <f t="shared" si="6"/>
        <v/>
      </c>
      <c r="O83" t="str">
        <f t="shared" si="7"/>
        <v/>
      </c>
    </row>
    <row r="84" spans="1:15" x14ac:dyDescent="0.25">
      <c r="A84" t="s">
        <v>29</v>
      </c>
      <c r="B84" s="5">
        <v>46080</v>
      </c>
      <c r="D84" s="4" t="s">
        <v>101</v>
      </c>
      <c r="E84" s="4" t="str">
        <f t="shared" si="4"/>
        <v/>
      </c>
      <c r="F84" t="str">
        <f t="shared" si="5"/>
        <v>Nakit</v>
      </c>
      <c r="G84" s="4" t="s">
        <v>45</v>
      </c>
      <c r="H84" t="s">
        <v>44</v>
      </c>
      <c r="I84" s="4" t="s">
        <v>101</v>
      </c>
      <c r="J84" s="4">
        <v>1</v>
      </c>
      <c r="K84" s="7">
        <v>441</v>
      </c>
      <c r="L84">
        <v>0</v>
      </c>
      <c r="N84" t="str">
        <f t="shared" si="6"/>
        <v/>
      </c>
      <c r="O84" t="str">
        <f t="shared" si="7"/>
        <v/>
      </c>
    </row>
    <row r="85" spans="1:15" x14ac:dyDescent="0.25">
      <c r="A85" t="s">
        <v>29</v>
      </c>
      <c r="B85" s="5">
        <v>46082</v>
      </c>
      <c r="D85" s="4" t="s">
        <v>111</v>
      </c>
      <c r="E85" s="4" t="str">
        <f t="shared" si="4"/>
        <v/>
      </c>
      <c r="F85" t="str">
        <f t="shared" si="5"/>
        <v>Nakit</v>
      </c>
      <c r="G85" s="4" t="s">
        <v>45</v>
      </c>
      <c r="H85" t="s">
        <v>36</v>
      </c>
      <c r="I85" s="4" t="s">
        <v>111</v>
      </c>
      <c r="J85" s="4">
        <v>1</v>
      </c>
      <c r="K85" s="8">
        <v>92</v>
      </c>
      <c r="L85">
        <v>0</v>
      </c>
      <c r="N85" t="str">
        <f t="shared" si="6"/>
        <v/>
      </c>
      <c r="O85" t="str">
        <f t="shared" si="7"/>
        <v/>
      </c>
    </row>
    <row r="86" spans="1:15" x14ac:dyDescent="0.25">
      <c r="A86" t="s">
        <v>29</v>
      </c>
      <c r="B86" s="5">
        <v>46083</v>
      </c>
      <c r="D86" s="4" t="s">
        <v>112</v>
      </c>
      <c r="E86" s="4" t="str">
        <f t="shared" si="4"/>
        <v/>
      </c>
      <c r="F86" t="str">
        <f t="shared" si="5"/>
        <v>Nakit</v>
      </c>
      <c r="G86" s="4" t="s">
        <v>45</v>
      </c>
      <c r="H86" t="s">
        <v>31</v>
      </c>
      <c r="I86" s="4" t="s">
        <v>112</v>
      </c>
      <c r="J86" s="4">
        <v>1</v>
      </c>
      <c r="K86" s="7">
        <v>22000</v>
      </c>
      <c r="L86">
        <v>0</v>
      </c>
      <c r="N86" t="str">
        <f t="shared" si="6"/>
        <v/>
      </c>
      <c r="O86" t="str">
        <f t="shared" si="7"/>
        <v/>
      </c>
    </row>
    <row r="87" spans="1:15" x14ac:dyDescent="0.25">
      <c r="A87" t="s">
        <v>29</v>
      </c>
      <c r="B87" s="5">
        <v>46083</v>
      </c>
      <c r="D87" s="4" t="s">
        <v>113</v>
      </c>
      <c r="E87" s="4" t="str">
        <f t="shared" si="4"/>
        <v/>
      </c>
      <c r="F87" t="str">
        <f t="shared" si="5"/>
        <v>Nakit</v>
      </c>
      <c r="G87" s="4" t="s">
        <v>45</v>
      </c>
      <c r="H87" t="s">
        <v>41</v>
      </c>
      <c r="I87" s="4" t="s">
        <v>113</v>
      </c>
      <c r="J87" s="4">
        <v>1</v>
      </c>
      <c r="K87" s="7">
        <v>791</v>
      </c>
      <c r="L87">
        <v>0</v>
      </c>
      <c r="N87" t="str">
        <f t="shared" si="6"/>
        <v/>
      </c>
      <c r="O87" t="str">
        <f t="shared" si="7"/>
        <v/>
      </c>
    </row>
    <row r="88" spans="1:15" x14ac:dyDescent="0.25">
      <c r="A88" t="s">
        <v>29</v>
      </c>
      <c r="B88" s="5">
        <v>46084</v>
      </c>
      <c r="D88" s="4" t="s">
        <v>114</v>
      </c>
      <c r="E88" s="4" t="str">
        <f t="shared" si="4"/>
        <v>MEHMET DAŞDEMİR - K.K.</v>
      </c>
      <c r="F88" t="str">
        <f t="shared" si="5"/>
        <v>Vadeli</v>
      </c>
      <c r="G88" s="4"/>
      <c r="H88" t="s">
        <v>39</v>
      </c>
      <c r="I88" s="4" t="s">
        <v>114</v>
      </c>
      <c r="J88" s="4">
        <v>10</v>
      </c>
      <c r="K88" s="7">
        <v>35</v>
      </c>
      <c r="L88">
        <v>0</v>
      </c>
      <c r="N88" t="str">
        <f t="shared" si="6"/>
        <v/>
      </c>
      <c r="O88" t="str">
        <f t="shared" si="7"/>
        <v/>
      </c>
    </row>
    <row r="89" spans="1:15" x14ac:dyDescent="0.25">
      <c r="A89" t="s">
        <v>29</v>
      </c>
      <c r="B89" s="5">
        <v>46084</v>
      </c>
      <c r="D89" s="4" t="s">
        <v>115</v>
      </c>
      <c r="E89" s="4" t="str">
        <f t="shared" si="4"/>
        <v>MEHMET DAŞDEMİR - K.K.</v>
      </c>
      <c r="F89" t="str">
        <f t="shared" si="5"/>
        <v>Vadeli</v>
      </c>
      <c r="G89" s="4"/>
      <c r="H89" t="s">
        <v>39</v>
      </c>
      <c r="I89" s="4" t="s">
        <v>115</v>
      </c>
      <c r="J89" s="4">
        <v>5</v>
      </c>
      <c r="K89" s="7">
        <v>107.2</v>
      </c>
      <c r="L89">
        <v>0</v>
      </c>
      <c r="N89" t="str">
        <f t="shared" si="6"/>
        <v/>
      </c>
      <c r="O89" t="str">
        <f t="shared" si="7"/>
        <v/>
      </c>
    </row>
    <row r="90" spans="1:15" x14ac:dyDescent="0.25">
      <c r="A90" t="s">
        <v>29</v>
      </c>
      <c r="B90" s="5">
        <v>46090</v>
      </c>
      <c r="D90" s="4" t="s">
        <v>116</v>
      </c>
      <c r="E90" s="4" t="str">
        <f t="shared" si="4"/>
        <v/>
      </c>
      <c r="F90" t="str">
        <f t="shared" si="5"/>
        <v>Nakit</v>
      </c>
      <c r="G90" s="4" t="s">
        <v>45</v>
      </c>
      <c r="H90" t="s">
        <v>43</v>
      </c>
      <c r="I90" s="4" t="s">
        <v>116</v>
      </c>
      <c r="J90" s="4">
        <v>1</v>
      </c>
      <c r="K90" s="7">
        <v>2545.94</v>
      </c>
      <c r="L90">
        <v>0</v>
      </c>
      <c r="N90" t="str">
        <f t="shared" si="6"/>
        <v/>
      </c>
      <c r="O90" t="str">
        <f t="shared" si="7"/>
        <v/>
      </c>
    </row>
    <row r="91" spans="1:15" x14ac:dyDescent="0.25">
      <c r="A91" t="s">
        <v>29</v>
      </c>
      <c r="B91" s="5">
        <v>46093</v>
      </c>
      <c r="D91" s="4" t="s">
        <v>117</v>
      </c>
      <c r="E91" s="4" t="str">
        <f t="shared" si="4"/>
        <v/>
      </c>
      <c r="F91" t="str">
        <f t="shared" si="5"/>
        <v>Nakit</v>
      </c>
      <c r="G91" s="4" t="s">
        <v>45</v>
      </c>
      <c r="H91" t="s">
        <v>41</v>
      </c>
      <c r="I91" s="4" t="s">
        <v>117</v>
      </c>
      <c r="J91" s="4">
        <v>1</v>
      </c>
      <c r="K91" s="7">
        <v>7676.95</v>
      </c>
      <c r="L91">
        <v>0</v>
      </c>
      <c r="N91" t="str">
        <f t="shared" si="6"/>
        <v/>
      </c>
      <c r="O91" t="str">
        <f t="shared" si="7"/>
        <v/>
      </c>
    </row>
    <row r="92" spans="1:15" x14ac:dyDescent="0.25">
      <c r="A92" t="s">
        <v>29</v>
      </c>
      <c r="B92" s="5">
        <v>46097</v>
      </c>
      <c r="D92" s="4" t="s">
        <v>107</v>
      </c>
      <c r="E92" s="4" t="str">
        <f t="shared" si="4"/>
        <v/>
      </c>
      <c r="F92" t="str">
        <f t="shared" si="5"/>
        <v>Nakit</v>
      </c>
      <c r="G92" s="4" t="s">
        <v>45</v>
      </c>
      <c r="H92" t="s">
        <v>40</v>
      </c>
      <c r="I92" s="4" t="s">
        <v>107</v>
      </c>
      <c r="J92" s="4">
        <v>1</v>
      </c>
      <c r="K92" s="7">
        <v>2000</v>
      </c>
      <c r="L92">
        <v>0</v>
      </c>
      <c r="N92" t="str">
        <f t="shared" si="6"/>
        <v/>
      </c>
      <c r="O92" t="str">
        <f t="shared" si="7"/>
        <v/>
      </c>
    </row>
    <row r="93" spans="1:15" x14ac:dyDescent="0.25">
      <c r="A93" t="s">
        <v>29</v>
      </c>
      <c r="B93" s="5">
        <v>46098</v>
      </c>
      <c r="D93" s="4" t="s">
        <v>118</v>
      </c>
      <c r="E93" s="4" t="str">
        <f t="shared" si="4"/>
        <v/>
      </c>
      <c r="F93" t="str">
        <f t="shared" si="5"/>
        <v>Nakit</v>
      </c>
      <c r="G93" s="4" t="s">
        <v>45</v>
      </c>
      <c r="H93" t="s">
        <v>43</v>
      </c>
      <c r="I93" s="4" t="s">
        <v>118</v>
      </c>
      <c r="J93" s="4">
        <v>1</v>
      </c>
      <c r="K93" s="8">
        <v>862.18</v>
      </c>
      <c r="L93">
        <v>0</v>
      </c>
      <c r="N93" t="str">
        <f t="shared" si="6"/>
        <v/>
      </c>
      <c r="O93" t="str">
        <f t="shared" si="7"/>
        <v/>
      </c>
    </row>
    <row r="94" spans="1:15" x14ac:dyDescent="0.25">
      <c r="A94" t="s">
        <v>29</v>
      </c>
      <c r="B94" s="5">
        <v>46104</v>
      </c>
      <c r="D94" s="4" t="s">
        <v>119</v>
      </c>
      <c r="E94" s="4" t="str">
        <f t="shared" si="4"/>
        <v/>
      </c>
      <c r="F94" t="str">
        <f t="shared" si="5"/>
        <v>Nakit</v>
      </c>
      <c r="G94" s="4" t="s">
        <v>45</v>
      </c>
      <c r="H94" t="s">
        <v>33</v>
      </c>
      <c r="I94" s="4" t="s">
        <v>119</v>
      </c>
      <c r="J94" s="4">
        <v>1</v>
      </c>
      <c r="K94" s="7">
        <v>4600</v>
      </c>
      <c r="L94">
        <v>0</v>
      </c>
      <c r="N94" t="str">
        <f t="shared" si="6"/>
        <v/>
      </c>
      <c r="O94" t="str">
        <f t="shared" si="7"/>
        <v/>
      </c>
    </row>
    <row r="95" spans="1:15" x14ac:dyDescent="0.25">
      <c r="A95" t="s">
        <v>29</v>
      </c>
      <c r="B95" s="5">
        <v>46104</v>
      </c>
      <c r="D95" s="4" t="s">
        <v>120</v>
      </c>
      <c r="E95" s="4" t="str">
        <f t="shared" si="4"/>
        <v/>
      </c>
      <c r="F95" t="str">
        <f t="shared" si="5"/>
        <v>Nakit</v>
      </c>
      <c r="G95" s="4" t="s">
        <v>45</v>
      </c>
      <c r="H95" t="s">
        <v>43</v>
      </c>
      <c r="I95" s="4" t="s">
        <v>120</v>
      </c>
      <c r="J95" s="4">
        <v>1</v>
      </c>
      <c r="K95" s="8">
        <v>1865</v>
      </c>
      <c r="L95">
        <v>0</v>
      </c>
      <c r="N95" t="str">
        <f t="shared" si="6"/>
        <v/>
      </c>
      <c r="O95" t="str">
        <f t="shared" si="7"/>
        <v/>
      </c>
    </row>
    <row r="96" spans="1:15" x14ac:dyDescent="0.25">
      <c r="A96" t="s">
        <v>29</v>
      </c>
      <c r="B96" s="5">
        <v>46104</v>
      </c>
      <c r="D96" s="4" t="s">
        <v>121</v>
      </c>
      <c r="E96" s="4" t="str">
        <f t="shared" si="4"/>
        <v/>
      </c>
      <c r="F96" t="str">
        <f t="shared" si="5"/>
        <v>Nakit</v>
      </c>
      <c r="G96" s="4" t="s">
        <v>45</v>
      </c>
      <c r="H96" t="s">
        <v>35</v>
      </c>
      <c r="I96" s="4" t="s">
        <v>121</v>
      </c>
      <c r="J96" s="4">
        <v>1</v>
      </c>
      <c r="K96" s="7">
        <v>150</v>
      </c>
      <c r="L96">
        <v>0</v>
      </c>
      <c r="N96" t="str">
        <f t="shared" si="6"/>
        <v/>
      </c>
      <c r="O96" t="str">
        <f t="shared" si="7"/>
        <v/>
      </c>
    </row>
    <row r="97" spans="1:15" x14ac:dyDescent="0.25">
      <c r="A97" t="s">
        <v>29</v>
      </c>
      <c r="B97" s="5">
        <v>46105</v>
      </c>
      <c r="D97" s="4" t="s">
        <v>122</v>
      </c>
      <c r="E97" s="4" t="str">
        <f t="shared" si="4"/>
        <v/>
      </c>
      <c r="F97" t="str">
        <f t="shared" si="5"/>
        <v>Nakit</v>
      </c>
      <c r="G97" s="4" t="s">
        <v>45</v>
      </c>
      <c r="H97" t="s">
        <v>41</v>
      </c>
      <c r="I97" s="4" t="s">
        <v>122</v>
      </c>
      <c r="J97" s="4">
        <v>1</v>
      </c>
      <c r="K97" s="7">
        <v>331</v>
      </c>
      <c r="L97">
        <v>0</v>
      </c>
      <c r="N97" t="str">
        <f t="shared" si="6"/>
        <v/>
      </c>
      <c r="O97" t="str">
        <f t="shared" si="7"/>
        <v/>
      </c>
    </row>
    <row r="98" spans="1:15" x14ac:dyDescent="0.25">
      <c r="A98" t="s">
        <v>29</v>
      </c>
      <c r="B98" s="5">
        <v>46106</v>
      </c>
      <c r="D98" s="4" t="s">
        <v>123</v>
      </c>
      <c r="E98" s="4" t="str">
        <f t="shared" si="4"/>
        <v/>
      </c>
      <c r="F98" t="str">
        <f t="shared" si="5"/>
        <v>Nakit</v>
      </c>
      <c r="G98" s="4" t="s">
        <v>45</v>
      </c>
      <c r="H98" t="s">
        <v>41</v>
      </c>
      <c r="I98" s="4" t="s">
        <v>123</v>
      </c>
      <c r="J98" s="4">
        <v>1</v>
      </c>
      <c r="K98" s="7">
        <v>10035</v>
      </c>
      <c r="L98">
        <v>0</v>
      </c>
      <c r="N98" t="str">
        <f t="shared" si="6"/>
        <v/>
      </c>
      <c r="O98" t="str">
        <f t="shared" si="7"/>
        <v/>
      </c>
    </row>
    <row r="99" spans="1:15" x14ac:dyDescent="0.25">
      <c r="A99" t="s">
        <v>29</v>
      </c>
      <c r="B99" s="5">
        <v>46106</v>
      </c>
      <c r="D99" s="4" t="s">
        <v>124</v>
      </c>
      <c r="E99" s="4" t="str">
        <f t="shared" si="4"/>
        <v/>
      </c>
      <c r="F99" t="str">
        <f t="shared" si="5"/>
        <v>Nakit</v>
      </c>
      <c r="G99" s="4" t="s">
        <v>45</v>
      </c>
      <c r="H99" t="s">
        <v>44</v>
      </c>
      <c r="I99" s="4" t="s">
        <v>124</v>
      </c>
      <c r="J99" s="4">
        <v>1</v>
      </c>
      <c r="K99" s="7">
        <v>777.45</v>
      </c>
      <c r="L99">
        <v>0</v>
      </c>
      <c r="N99" t="str">
        <f t="shared" si="6"/>
        <v/>
      </c>
      <c r="O99" t="str">
        <f t="shared" si="7"/>
        <v/>
      </c>
    </row>
    <row r="100" spans="1:15" x14ac:dyDescent="0.25">
      <c r="A100" t="s">
        <v>29</v>
      </c>
      <c r="B100" s="5">
        <v>46107</v>
      </c>
      <c r="D100" s="4" t="s">
        <v>101</v>
      </c>
      <c r="E100" s="4" t="str">
        <f t="shared" si="4"/>
        <v/>
      </c>
      <c r="F100" t="str">
        <f t="shared" si="5"/>
        <v>Nakit</v>
      </c>
      <c r="G100" s="4" t="s">
        <v>45</v>
      </c>
      <c r="H100" t="s">
        <v>44</v>
      </c>
      <c r="I100" s="4" t="s">
        <v>101</v>
      </c>
      <c r="J100" s="4">
        <v>1</v>
      </c>
      <c r="K100" s="7">
        <v>441</v>
      </c>
      <c r="L100">
        <v>0</v>
      </c>
      <c r="N100" t="str">
        <f t="shared" si="6"/>
        <v/>
      </c>
      <c r="O100" t="str">
        <f t="shared" si="7"/>
        <v/>
      </c>
    </row>
    <row r="101" spans="1:15" x14ac:dyDescent="0.25">
      <c r="A101" t="s">
        <v>29</v>
      </c>
      <c r="B101" s="5">
        <v>46109</v>
      </c>
      <c r="D101" s="4" t="s">
        <v>125</v>
      </c>
      <c r="E101" s="4" t="str">
        <f t="shared" si="4"/>
        <v/>
      </c>
      <c r="F101" t="str">
        <f t="shared" si="5"/>
        <v>Nakit</v>
      </c>
      <c r="G101" s="4" t="s">
        <v>45</v>
      </c>
      <c r="H101" t="s">
        <v>41</v>
      </c>
      <c r="I101" s="4" t="s">
        <v>125</v>
      </c>
      <c r="J101" s="4">
        <v>1</v>
      </c>
      <c r="K101" s="7">
        <v>1483.7</v>
      </c>
      <c r="L101">
        <v>0</v>
      </c>
      <c r="N101" t="str">
        <f t="shared" si="6"/>
        <v/>
      </c>
      <c r="O101" t="str">
        <f t="shared" si="7"/>
        <v/>
      </c>
    </row>
    <row r="102" spans="1:15" x14ac:dyDescent="0.25">
      <c r="A102" t="s">
        <v>29</v>
      </c>
      <c r="B102" s="5">
        <v>46113</v>
      </c>
      <c r="D102" s="4" t="s">
        <v>126</v>
      </c>
      <c r="E102" s="4" t="str">
        <f t="shared" si="4"/>
        <v/>
      </c>
      <c r="F102" t="str">
        <f t="shared" si="5"/>
        <v>Nakit</v>
      </c>
      <c r="G102" s="4" t="s">
        <v>45</v>
      </c>
      <c r="H102" t="s">
        <v>31</v>
      </c>
      <c r="I102" s="4" t="s">
        <v>126</v>
      </c>
      <c r="J102" s="4">
        <v>1</v>
      </c>
      <c r="K102" s="7">
        <v>22000</v>
      </c>
      <c r="L102">
        <v>0</v>
      </c>
      <c r="N102" t="str">
        <f t="shared" si="6"/>
        <v/>
      </c>
      <c r="O102" t="str">
        <f t="shared" si="7"/>
        <v/>
      </c>
    </row>
    <row r="103" spans="1:15" x14ac:dyDescent="0.25">
      <c r="A103" t="s">
        <v>29</v>
      </c>
      <c r="B103" s="5">
        <v>46124</v>
      </c>
      <c r="D103" s="4" t="s">
        <v>127</v>
      </c>
      <c r="E103" s="4" t="str">
        <f t="shared" si="4"/>
        <v/>
      </c>
      <c r="F103" t="str">
        <f t="shared" si="5"/>
        <v>Nakit</v>
      </c>
      <c r="G103" s="4" t="s">
        <v>45</v>
      </c>
      <c r="H103" t="s">
        <v>39</v>
      </c>
      <c r="I103" s="4" t="s">
        <v>127</v>
      </c>
      <c r="J103" s="4">
        <v>1</v>
      </c>
      <c r="K103" s="7">
        <v>375</v>
      </c>
      <c r="L103">
        <v>0</v>
      </c>
      <c r="N103" t="str">
        <f t="shared" si="6"/>
        <v/>
      </c>
      <c r="O103" t="str">
        <f t="shared" si="7"/>
        <v/>
      </c>
    </row>
    <row r="104" spans="1:15" x14ac:dyDescent="0.25">
      <c r="A104" t="s">
        <v>29</v>
      </c>
      <c r="B104" s="5">
        <v>46130</v>
      </c>
      <c r="D104" s="4" t="s">
        <v>128</v>
      </c>
      <c r="E104" s="4" t="str">
        <f t="shared" si="4"/>
        <v/>
      </c>
      <c r="F104" t="str">
        <f t="shared" si="5"/>
        <v>Nakit</v>
      </c>
      <c r="G104" s="4" t="s">
        <v>45</v>
      </c>
      <c r="H104" t="s">
        <v>39</v>
      </c>
      <c r="I104" s="4" t="s">
        <v>128</v>
      </c>
      <c r="J104" s="4">
        <v>0.81499999999999995</v>
      </c>
      <c r="K104" s="7">
        <v>160</v>
      </c>
      <c r="L104">
        <v>0</v>
      </c>
      <c r="N104" t="str">
        <f t="shared" si="6"/>
        <v/>
      </c>
      <c r="O104" t="str">
        <f t="shared" si="7"/>
        <v/>
      </c>
    </row>
    <row r="105" spans="1:15" x14ac:dyDescent="0.25">
      <c r="A105" t="s">
        <v>29</v>
      </c>
      <c r="B105" s="5">
        <v>46132</v>
      </c>
      <c r="D105" s="4" t="s">
        <v>129</v>
      </c>
      <c r="E105" s="4" t="str">
        <f t="shared" si="4"/>
        <v/>
      </c>
      <c r="F105" t="str">
        <f t="shared" si="5"/>
        <v>Nakit</v>
      </c>
      <c r="G105" s="4" t="s">
        <v>45</v>
      </c>
      <c r="H105" t="s">
        <v>34</v>
      </c>
      <c r="I105" s="4" t="s">
        <v>129</v>
      </c>
      <c r="J105" s="4">
        <v>1</v>
      </c>
      <c r="K105" s="7">
        <v>528</v>
      </c>
      <c r="L105">
        <v>0</v>
      </c>
      <c r="N105" t="str">
        <f t="shared" si="6"/>
        <v/>
      </c>
      <c r="O105" t="str">
        <f t="shared" si="7"/>
        <v/>
      </c>
    </row>
    <row r="106" spans="1:15" x14ac:dyDescent="0.25">
      <c r="A106" t="s">
        <v>29</v>
      </c>
      <c r="B106" s="5">
        <v>46132</v>
      </c>
      <c r="D106" s="4" t="s">
        <v>130</v>
      </c>
      <c r="E106" s="4" t="str">
        <f t="shared" si="4"/>
        <v/>
      </c>
      <c r="F106" t="str">
        <f t="shared" si="5"/>
        <v>Nakit</v>
      </c>
      <c r="G106" s="4" t="s">
        <v>45</v>
      </c>
      <c r="H106" t="s">
        <v>43</v>
      </c>
      <c r="I106" s="4" t="s">
        <v>130</v>
      </c>
      <c r="J106" s="4">
        <v>1</v>
      </c>
      <c r="K106" s="7">
        <v>600</v>
      </c>
      <c r="L106">
        <v>0</v>
      </c>
      <c r="N106" t="str">
        <f t="shared" si="6"/>
        <v/>
      </c>
      <c r="O106" t="str">
        <f t="shared" si="7"/>
        <v/>
      </c>
    </row>
    <row r="107" spans="1:15" x14ac:dyDescent="0.25">
      <c r="A107" t="s">
        <v>29</v>
      </c>
      <c r="B107" s="5">
        <v>46132</v>
      </c>
      <c r="D107" s="4" t="s">
        <v>131</v>
      </c>
      <c r="E107" s="4" t="str">
        <f t="shared" si="4"/>
        <v>MEHMET DAŞDEMİR - K.K.</v>
      </c>
      <c r="F107" t="str">
        <f t="shared" si="5"/>
        <v>Vadeli</v>
      </c>
      <c r="G107" s="4"/>
      <c r="H107" t="s">
        <v>41</v>
      </c>
      <c r="I107" s="4" t="s">
        <v>131</v>
      </c>
      <c r="J107" s="4">
        <v>1</v>
      </c>
      <c r="K107" s="7">
        <v>18539.7</v>
      </c>
      <c r="L107">
        <v>0</v>
      </c>
      <c r="N107" t="str">
        <f t="shared" si="6"/>
        <v/>
      </c>
      <c r="O107" t="str">
        <f t="shared" si="7"/>
        <v/>
      </c>
    </row>
    <row r="108" spans="1:15" x14ac:dyDescent="0.25">
      <c r="A108" t="s">
        <v>29</v>
      </c>
      <c r="B108" s="5">
        <v>46138</v>
      </c>
      <c r="D108" s="4" t="s">
        <v>113</v>
      </c>
      <c r="E108" s="4" t="str">
        <f t="shared" si="4"/>
        <v/>
      </c>
      <c r="F108" t="str">
        <f t="shared" si="5"/>
        <v>Nakit</v>
      </c>
      <c r="G108" s="4" t="s">
        <v>45</v>
      </c>
      <c r="H108" t="s">
        <v>41</v>
      </c>
      <c r="I108" s="4" t="s">
        <v>113</v>
      </c>
      <c r="J108" s="4">
        <v>1</v>
      </c>
      <c r="K108" s="7">
        <v>791</v>
      </c>
      <c r="L108">
        <v>0</v>
      </c>
      <c r="N108" t="str">
        <f t="shared" si="6"/>
        <v/>
      </c>
      <c r="O108" t="str">
        <f t="shared" si="7"/>
        <v/>
      </c>
    </row>
    <row r="109" spans="1:15" x14ac:dyDescent="0.25">
      <c r="A109" t="s">
        <v>29</v>
      </c>
      <c r="B109" s="5">
        <v>46139</v>
      </c>
      <c r="D109" s="4" t="s">
        <v>132</v>
      </c>
      <c r="E109" s="4" t="str">
        <f t="shared" si="4"/>
        <v/>
      </c>
      <c r="F109" t="str">
        <f t="shared" si="5"/>
        <v>Nakit</v>
      </c>
      <c r="G109" s="4" t="s">
        <v>45</v>
      </c>
      <c r="H109" t="s">
        <v>43</v>
      </c>
      <c r="I109" s="4" t="s">
        <v>132</v>
      </c>
      <c r="J109" s="4">
        <v>1</v>
      </c>
      <c r="K109" s="7">
        <v>307.89999999999998</v>
      </c>
      <c r="L109">
        <v>0</v>
      </c>
      <c r="N109" t="str">
        <f t="shared" si="6"/>
        <v/>
      </c>
      <c r="O109" t="str">
        <f t="shared" si="7"/>
        <v/>
      </c>
    </row>
    <row r="110" spans="1:15" x14ac:dyDescent="0.25">
      <c r="A110" t="s">
        <v>29</v>
      </c>
      <c r="B110" s="5">
        <v>46139</v>
      </c>
      <c r="D110" s="4" t="s">
        <v>132</v>
      </c>
      <c r="E110" s="4" t="str">
        <f t="shared" si="4"/>
        <v/>
      </c>
      <c r="F110" t="str">
        <f t="shared" si="5"/>
        <v>Nakit</v>
      </c>
      <c r="G110" s="4" t="s">
        <v>45</v>
      </c>
      <c r="H110" t="s">
        <v>43</v>
      </c>
      <c r="I110" s="4" t="s">
        <v>132</v>
      </c>
      <c r="J110" s="4">
        <v>1</v>
      </c>
      <c r="K110" s="7">
        <v>1507.1</v>
      </c>
      <c r="L110">
        <v>0</v>
      </c>
      <c r="N110" t="str">
        <f t="shared" si="6"/>
        <v/>
      </c>
      <c r="O110" t="str">
        <f t="shared" si="7"/>
        <v/>
      </c>
    </row>
    <row r="111" spans="1:15" x14ac:dyDescent="0.25">
      <c r="A111" t="s">
        <v>29</v>
      </c>
      <c r="B111" s="5">
        <v>46143</v>
      </c>
      <c r="D111" s="4" t="s">
        <v>133</v>
      </c>
      <c r="E111" s="4" t="str">
        <f t="shared" si="4"/>
        <v/>
      </c>
      <c r="F111" t="str">
        <f t="shared" si="5"/>
        <v>Nakit</v>
      </c>
      <c r="G111" s="4" t="s">
        <v>45</v>
      </c>
      <c r="H111" t="s">
        <v>31</v>
      </c>
      <c r="I111" s="4" t="s">
        <v>133</v>
      </c>
      <c r="J111" s="4">
        <v>1</v>
      </c>
      <c r="K111" s="7">
        <v>22000</v>
      </c>
      <c r="L111">
        <v>0</v>
      </c>
      <c r="N111" t="str">
        <f t="shared" si="6"/>
        <v/>
      </c>
      <c r="O111" t="str">
        <f t="shared" si="7"/>
        <v/>
      </c>
    </row>
    <row r="112" spans="1:15" x14ac:dyDescent="0.25">
      <c r="A112" t="s">
        <v>29</v>
      </c>
      <c r="B112" s="5">
        <v>46144</v>
      </c>
      <c r="D112" s="4" t="s">
        <v>134</v>
      </c>
      <c r="E112" s="4" t="str">
        <f t="shared" si="4"/>
        <v>MEHMET DAŞDEMİR - K.K.</v>
      </c>
      <c r="F112" t="str">
        <f t="shared" si="5"/>
        <v>Vadeli</v>
      </c>
      <c r="G112" s="4"/>
      <c r="H112" t="s">
        <v>41</v>
      </c>
      <c r="I112" s="4" t="s">
        <v>134</v>
      </c>
      <c r="J112" s="4">
        <v>1</v>
      </c>
      <c r="K112" s="7">
        <v>824.17</v>
      </c>
      <c r="L112">
        <v>0</v>
      </c>
      <c r="N112" t="str">
        <f t="shared" si="6"/>
        <v/>
      </c>
      <c r="O112" t="str">
        <f t="shared" si="7"/>
        <v/>
      </c>
    </row>
    <row r="113" spans="1:15" x14ac:dyDescent="0.25">
      <c r="A113" t="s">
        <v>29</v>
      </c>
      <c r="B113" s="5">
        <v>46154</v>
      </c>
      <c r="D113" s="4" t="s">
        <v>135</v>
      </c>
      <c r="E113" s="4" t="str">
        <f t="shared" si="4"/>
        <v/>
      </c>
      <c r="F113" t="str">
        <f t="shared" si="5"/>
        <v>Nakit</v>
      </c>
      <c r="G113" s="4" t="s">
        <v>45</v>
      </c>
      <c r="H113" t="s">
        <v>40</v>
      </c>
      <c r="I113" s="4" t="s">
        <v>135</v>
      </c>
      <c r="J113" s="4">
        <v>2</v>
      </c>
      <c r="K113" s="7">
        <v>2000</v>
      </c>
      <c r="L113">
        <v>0</v>
      </c>
      <c r="N113" t="str">
        <f t="shared" si="6"/>
        <v/>
      </c>
      <c r="O113" t="str">
        <f t="shared" si="7"/>
        <v/>
      </c>
    </row>
    <row r="114" spans="1:15" x14ac:dyDescent="0.25">
      <c r="A114" t="s">
        <v>29</v>
      </c>
      <c r="B114" s="5">
        <v>46155</v>
      </c>
      <c r="D114" s="4" t="s">
        <v>101</v>
      </c>
      <c r="E114" s="4" t="str">
        <f t="shared" si="4"/>
        <v/>
      </c>
      <c r="F114" t="str">
        <f t="shared" si="5"/>
        <v>Nakit</v>
      </c>
      <c r="G114" s="4" t="s">
        <v>45</v>
      </c>
      <c r="H114" t="s">
        <v>44</v>
      </c>
      <c r="I114" s="4" t="s">
        <v>101</v>
      </c>
      <c r="J114" s="4">
        <v>1</v>
      </c>
      <c r="K114" s="7">
        <v>418.83</v>
      </c>
      <c r="L114">
        <v>0</v>
      </c>
      <c r="N114" t="str">
        <f t="shared" si="6"/>
        <v/>
      </c>
      <c r="O114" t="str">
        <f t="shared" si="7"/>
        <v/>
      </c>
    </row>
    <row r="115" spans="1:15" x14ac:dyDescent="0.25">
      <c r="A115" t="s">
        <v>29</v>
      </c>
      <c r="B115" s="5">
        <v>46156</v>
      </c>
      <c r="D115" s="4" t="s">
        <v>101</v>
      </c>
      <c r="E115" s="4" t="str">
        <f t="shared" si="4"/>
        <v/>
      </c>
      <c r="F115" t="str">
        <f t="shared" si="5"/>
        <v>Nakit</v>
      </c>
      <c r="G115" s="4" t="s">
        <v>45</v>
      </c>
      <c r="H115" t="s">
        <v>44</v>
      </c>
      <c r="I115" s="4" t="s">
        <v>101</v>
      </c>
      <c r="J115" s="4">
        <v>1</v>
      </c>
      <c r="K115" s="7">
        <v>22.17</v>
      </c>
      <c r="L115">
        <v>0</v>
      </c>
      <c r="N115" t="str">
        <f t="shared" si="6"/>
        <v/>
      </c>
      <c r="O115" t="str">
        <f t="shared" si="7"/>
        <v/>
      </c>
    </row>
    <row r="116" spans="1:15" x14ac:dyDescent="0.25">
      <c r="A116" t="s">
        <v>29</v>
      </c>
      <c r="B116" s="5">
        <v>46156</v>
      </c>
      <c r="D116" s="4" t="s">
        <v>136</v>
      </c>
      <c r="E116" s="4" t="str">
        <f t="shared" si="4"/>
        <v/>
      </c>
      <c r="F116" t="str">
        <f t="shared" si="5"/>
        <v>Nakit</v>
      </c>
      <c r="G116" s="4" t="s">
        <v>45</v>
      </c>
      <c r="H116" t="s">
        <v>41</v>
      </c>
      <c r="I116" s="4" t="s">
        <v>136</v>
      </c>
      <c r="J116" s="4">
        <v>1</v>
      </c>
      <c r="K116" s="7">
        <v>1085.2</v>
      </c>
      <c r="L116">
        <v>0</v>
      </c>
      <c r="N116" t="str">
        <f t="shared" si="6"/>
        <v/>
      </c>
      <c r="O116" t="str">
        <f t="shared" si="7"/>
        <v/>
      </c>
    </row>
    <row r="117" spans="1:15" x14ac:dyDescent="0.25">
      <c r="A117" t="s">
        <v>29</v>
      </c>
      <c r="B117" s="5">
        <v>46162</v>
      </c>
      <c r="D117" s="4" t="s">
        <v>137</v>
      </c>
      <c r="E117" s="4" t="str">
        <f t="shared" si="4"/>
        <v/>
      </c>
      <c r="F117" t="str">
        <f t="shared" si="5"/>
        <v>Nakit</v>
      </c>
      <c r="G117" s="4" t="s">
        <v>45</v>
      </c>
      <c r="H117" t="s">
        <v>43</v>
      </c>
      <c r="I117" s="4" t="s">
        <v>137</v>
      </c>
      <c r="J117" s="4">
        <v>1</v>
      </c>
      <c r="K117" s="7">
        <v>2455</v>
      </c>
      <c r="L117">
        <v>0</v>
      </c>
      <c r="N117" t="str">
        <f t="shared" si="6"/>
        <v/>
      </c>
      <c r="O117" t="str">
        <f t="shared" si="7"/>
        <v/>
      </c>
    </row>
    <row r="118" spans="1:15" x14ac:dyDescent="0.25">
      <c r="A118" t="s">
        <v>29</v>
      </c>
      <c r="B118" s="5">
        <v>46167</v>
      </c>
      <c r="D118" s="4" t="s">
        <v>138</v>
      </c>
      <c r="E118" s="4" t="str">
        <f t="shared" si="4"/>
        <v/>
      </c>
      <c r="F118" t="str">
        <f t="shared" si="5"/>
        <v>Nakit</v>
      </c>
      <c r="G118" s="4" t="s">
        <v>45</v>
      </c>
      <c r="H118" t="s">
        <v>43</v>
      </c>
      <c r="I118" s="4" t="s">
        <v>138</v>
      </c>
      <c r="J118" s="4">
        <v>1</v>
      </c>
      <c r="K118" s="7">
        <v>317.39999999999998</v>
      </c>
      <c r="L118">
        <v>0</v>
      </c>
      <c r="N118" t="str">
        <f t="shared" si="6"/>
        <v/>
      </c>
      <c r="O118" t="str">
        <f t="shared" si="7"/>
        <v/>
      </c>
    </row>
    <row r="119" spans="1:15" x14ac:dyDescent="0.25">
      <c r="A119" t="s">
        <v>29</v>
      </c>
      <c r="B119" s="5">
        <v>46167</v>
      </c>
      <c r="D119" s="4" t="s">
        <v>138</v>
      </c>
      <c r="E119" s="4" t="str">
        <f t="shared" si="4"/>
        <v/>
      </c>
      <c r="F119" t="str">
        <f t="shared" si="5"/>
        <v>Nakit</v>
      </c>
      <c r="G119" s="4" t="s">
        <v>45</v>
      </c>
      <c r="H119" t="s">
        <v>43</v>
      </c>
      <c r="I119" s="4" t="s">
        <v>138</v>
      </c>
      <c r="J119" s="4">
        <v>1</v>
      </c>
      <c r="K119" s="7">
        <v>1562.6</v>
      </c>
      <c r="L119">
        <v>0</v>
      </c>
      <c r="N119" t="str">
        <f t="shared" si="6"/>
        <v/>
      </c>
      <c r="O119" t="str">
        <f t="shared" si="7"/>
        <v/>
      </c>
    </row>
    <row r="120" spans="1:15" x14ac:dyDescent="0.25">
      <c r="A120" t="s">
        <v>29</v>
      </c>
      <c r="B120" s="5">
        <v>46169</v>
      </c>
      <c r="D120" s="4" t="s">
        <v>101</v>
      </c>
      <c r="E120" s="4" t="str">
        <f t="shared" si="4"/>
        <v/>
      </c>
      <c r="F120" t="str">
        <f t="shared" si="5"/>
        <v>Nakit</v>
      </c>
      <c r="G120" s="4" t="s">
        <v>45</v>
      </c>
      <c r="H120" t="s">
        <v>44</v>
      </c>
      <c r="I120" s="4" t="s">
        <v>101</v>
      </c>
      <c r="J120" s="4">
        <v>1</v>
      </c>
      <c r="K120" s="7">
        <v>661.5</v>
      </c>
      <c r="L120">
        <v>0</v>
      </c>
      <c r="N120" t="str">
        <f t="shared" si="6"/>
        <v/>
      </c>
      <c r="O120" t="str">
        <f t="shared" si="7"/>
        <v/>
      </c>
    </row>
    <row r="121" spans="1:15" x14ac:dyDescent="0.25">
      <c r="A121" t="s">
        <v>29</v>
      </c>
      <c r="B121" s="5">
        <v>46175</v>
      </c>
      <c r="D121" s="4" t="s">
        <v>139</v>
      </c>
      <c r="E121" s="4" t="str">
        <f t="shared" si="4"/>
        <v/>
      </c>
      <c r="F121" t="str">
        <f t="shared" si="5"/>
        <v>Nakit</v>
      </c>
      <c r="G121" s="4" t="s">
        <v>45</v>
      </c>
      <c r="H121" t="s">
        <v>41</v>
      </c>
      <c r="I121" s="4" t="s">
        <v>139</v>
      </c>
      <c r="J121" s="4">
        <v>1</v>
      </c>
      <c r="K121" s="7">
        <v>791</v>
      </c>
      <c r="L121">
        <v>0</v>
      </c>
      <c r="N121" t="str">
        <f t="shared" si="6"/>
        <v/>
      </c>
      <c r="O121" t="str">
        <f t="shared" si="7"/>
        <v/>
      </c>
    </row>
    <row r="122" spans="1:15" x14ac:dyDescent="0.25">
      <c r="A122" t="s">
        <v>29</v>
      </c>
      <c r="B122" s="5">
        <v>46175</v>
      </c>
      <c r="D122" s="4" t="s">
        <v>140</v>
      </c>
      <c r="E122" s="4" t="str">
        <f t="shared" si="4"/>
        <v/>
      </c>
      <c r="F122" t="str">
        <f t="shared" si="5"/>
        <v>Nakit</v>
      </c>
      <c r="G122" s="4" t="s">
        <v>45</v>
      </c>
      <c r="H122" t="s">
        <v>31</v>
      </c>
      <c r="I122" s="4" t="s">
        <v>140</v>
      </c>
      <c r="J122" s="4">
        <v>1</v>
      </c>
      <c r="K122" s="7">
        <v>22000</v>
      </c>
      <c r="L122">
        <v>0</v>
      </c>
      <c r="N122" t="str">
        <f t="shared" si="6"/>
        <v/>
      </c>
      <c r="O122" t="str">
        <f t="shared" si="7"/>
        <v/>
      </c>
    </row>
    <row r="123" spans="1:15" x14ac:dyDescent="0.25">
      <c r="A123" t="s">
        <v>29</v>
      </c>
      <c r="B123" s="5">
        <v>46191</v>
      </c>
      <c r="D123" s="4" t="s">
        <v>141</v>
      </c>
      <c r="E123" s="4" t="str">
        <f t="shared" si="4"/>
        <v/>
      </c>
      <c r="F123" t="str">
        <f t="shared" si="5"/>
        <v>Nakit</v>
      </c>
      <c r="G123" s="4" t="s">
        <v>45</v>
      </c>
      <c r="H123" t="s">
        <v>34</v>
      </c>
      <c r="I123" s="4" t="s">
        <v>141</v>
      </c>
      <c r="J123" s="4">
        <v>1</v>
      </c>
      <c r="K123" s="7">
        <v>1500</v>
      </c>
      <c r="L123">
        <v>0</v>
      </c>
      <c r="N123" t="str">
        <f t="shared" si="6"/>
        <v/>
      </c>
      <c r="O123" t="str">
        <f t="shared" si="7"/>
        <v/>
      </c>
    </row>
    <row r="124" spans="1:15" x14ac:dyDescent="0.25">
      <c r="A124" t="s">
        <v>29</v>
      </c>
      <c r="B124" s="5">
        <v>46192</v>
      </c>
      <c r="D124" s="4" t="s">
        <v>137</v>
      </c>
      <c r="E124" s="4" t="str">
        <f t="shared" si="4"/>
        <v/>
      </c>
      <c r="F124" t="str">
        <f t="shared" si="5"/>
        <v>Nakit</v>
      </c>
      <c r="G124" s="4" t="s">
        <v>45</v>
      </c>
      <c r="H124" t="s">
        <v>43</v>
      </c>
      <c r="I124" s="4" t="s">
        <v>137</v>
      </c>
      <c r="J124" s="4">
        <v>1</v>
      </c>
      <c r="K124" s="7">
        <v>330</v>
      </c>
      <c r="L124">
        <v>0</v>
      </c>
      <c r="N124" t="str">
        <f t="shared" si="6"/>
        <v/>
      </c>
      <c r="O124" t="str">
        <f t="shared" si="7"/>
        <v/>
      </c>
    </row>
    <row r="125" spans="1:15" x14ac:dyDescent="0.25">
      <c r="A125" t="s">
        <v>29</v>
      </c>
      <c r="B125" s="5">
        <v>46195</v>
      </c>
      <c r="D125" s="4" t="s">
        <v>142</v>
      </c>
      <c r="E125" s="4" t="str">
        <f t="shared" si="4"/>
        <v/>
      </c>
      <c r="F125" t="str">
        <f t="shared" si="5"/>
        <v>Nakit</v>
      </c>
      <c r="G125" s="4" t="s">
        <v>45</v>
      </c>
      <c r="H125" t="s">
        <v>39</v>
      </c>
      <c r="I125" s="4" t="s">
        <v>142</v>
      </c>
      <c r="J125" s="4">
        <v>1</v>
      </c>
      <c r="K125" s="7">
        <v>375</v>
      </c>
      <c r="L125">
        <v>0</v>
      </c>
      <c r="N125" t="str">
        <f t="shared" si="6"/>
        <v/>
      </c>
      <c r="O125" t="str">
        <f t="shared" si="7"/>
        <v/>
      </c>
    </row>
    <row r="126" spans="1:15" x14ac:dyDescent="0.25">
      <c r="A126" t="s">
        <v>29</v>
      </c>
      <c r="B126" s="5">
        <v>46198</v>
      </c>
      <c r="D126" s="4" t="s">
        <v>143</v>
      </c>
      <c r="E126" s="4" t="str">
        <f t="shared" si="4"/>
        <v/>
      </c>
      <c r="F126" t="str">
        <f t="shared" si="5"/>
        <v>Nakit</v>
      </c>
      <c r="G126" s="4" t="s">
        <v>45</v>
      </c>
      <c r="H126" t="s">
        <v>40</v>
      </c>
      <c r="I126" s="4" t="s">
        <v>143</v>
      </c>
      <c r="J126" s="4">
        <v>1</v>
      </c>
      <c r="K126" s="7">
        <v>2000</v>
      </c>
      <c r="L126">
        <v>0</v>
      </c>
      <c r="N126" t="str">
        <f t="shared" si="6"/>
        <v/>
      </c>
      <c r="O126" t="str">
        <f t="shared" si="7"/>
        <v/>
      </c>
    </row>
    <row r="127" spans="1:15" x14ac:dyDescent="0.25">
      <c r="A127" t="s">
        <v>29</v>
      </c>
      <c r="B127" s="5">
        <v>46200</v>
      </c>
      <c r="D127" s="4" t="s">
        <v>101</v>
      </c>
      <c r="E127" s="4" t="str">
        <f t="shared" si="4"/>
        <v/>
      </c>
      <c r="F127" t="str">
        <f t="shared" si="5"/>
        <v>Nakit</v>
      </c>
      <c r="G127" s="4" t="s">
        <v>45</v>
      </c>
      <c r="H127" t="s">
        <v>44</v>
      </c>
      <c r="I127" s="4" t="s">
        <v>101</v>
      </c>
      <c r="J127" s="4">
        <v>1</v>
      </c>
      <c r="K127" s="7">
        <v>921.37</v>
      </c>
      <c r="L127">
        <v>0</v>
      </c>
      <c r="N127" t="str">
        <f t="shared" si="6"/>
        <v/>
      </c>
      <c r="O127" t="str">
        <f t="shared" si="7"/>
        <v/>
      </c>
    </row>
    <row r="128" spans="1:15" x14ac:dyDescent="0.25">
      <c r="A128" t="s">
        <v>29</v>
      </c>
      <c r="B128" s="5">
        <v>46200</v>
      </c>
      <c r="D128" s="4" t="s">
        <v>139</v>
      </c>
      <c r="E128" s="4" t="str">
        <f t="shared" si="4"/>
        <v/>
      </c>
      <c r="F128" t="str">
        <f t="shared" si="5"/>
        <v>Nakit</v>
      </c>
      <c r="G128" s="4" t="s">
        <v>45</v>
      </c>
      <c r="H128" t="s">
        <v>41</v>
      </c>
      <c r="I128" s="4" t="s">
        <v>139</v>
      </c>
      <c r="J128" s="4">
        <v>1</v>
      </c>
      <c r="K128" s="7">
        <v>791</v>
      </c>
      <c r="L128">
        <v>0</v>
      </c>
      <c r="N128" t="str">
        <f t="shared" si="6"/>
        <v/>
      </c>
      <c r="O128" t="str">
        <f t="shared" si="7"/>
        <v/>
      </c>
    </row>
    <row r="129" spans="1:15" x14ac:dyDescent="0.25">
      <c r="A129" t="s">
        <v>29</v>
      </c>
      <c r="B129" s="5">
        <v>46202</v>
      </c>
      <c r="D129" s="4" t="s">
        <v>144</v>
      </c>
      <c r="E129" s="4" t="str">
        <f t="shared" si="4"/>
        <v/>
      </c>
      <c r="F129" t="str">
        <f t="shared" si="5"/>
        <v>Nakit</v>
      </c>
      <c r="G129" s="4" t="s">
        <v>45</v>
      </c>
      <c r="H129" t="s">
        <v>41</v>
      </c>
      <c r="I129" s="4" t="s">
        <v>144</v>
      </c>
      <c r="J129" s="4">
        <v>1</v>
      </c>
      <c r="K129" s="7">
        <v>491.6</v>
      </c>
      <c r="L129">
        <v>0</v>
      </c>
      <c r="N129" t="str">
        <f t="shared" si="6"/>
        <v/>
      </c>
      <c r="O129" t="str">
        <f t="shared" si="7"/>
        <v/>
      </c>
    </row>
    <row r="130" spans="1:15" x14ac:dyDescent="0.25">
      <c r="A130" t="s">
        <v>29</v>
      </c>
      <c r="B130" s="5">
        <v>46202</v>
      </c>
      <c r="D130" s="4" t="s">
        <v>144</v>
      </c>
      <c r="E130" s="4" t="str">
        <f t="shared" si="4"/>
        <v/>
      </c>
      <c r="F130" t="str">
        <f t="shared" si="5"/>
        <v>Nakit</v>
      </c>
      <c r="G130" s="4" t="s">
        <v>45</v>
      </c>
      <c r="H130" t="s">
        <v>41</v>
      </c>
      <c r="I130" s="4" t="s">
        <v>144</v>
      </c>
      <c r="J130" s="4">
        <v>1</v>
      </c>
      <c r="K130" s="7">
        <v>1597.4</v>
      </c>
      <c r="L130">
        <v>0</v>
      </c>
      <c r="N130" t="str">
        <f t="shared" si="6"/>
        <v/>
      </c>
      <c r="O130" t="str">
        <f t="shared" si="7"/>
        <v/>
      </c>
    </row>
    <row r="131" spans="1:15" x14ac:dyDescent="0.25">
      <c r="A131" t="s">
        <v>29</v>
      </c>
      <c r="B131" s="5">
        <v>46205</v>
      </c>
      <c r="D131" s="4" t="s">
        <v>145</v>
      </c>
      <c r="E131" s="4" t="str">
        <f t="shared" ref="E131:E133" si="8">IF(F131="Nakit","","MEHMET DAŞDEMİR - K.K.")</f>
        <v>MEHMET DAŞDEMİR - K.K.</v>
      </c>
      <c r="F131" t="str">
        <f t="shared" ref="F131:F133" si="9">IF(G131="TL KASA","Nakit","Vadeli")</f>
        <v>Vadeli</v>
      </c>
      <c r="G131" s="4"/>
      <c r="H131" t="s">
        <v>39</v>
      </c>
      <c r="I131" s="4" t="s">
        <v>145</v>
      </c>
      <c r="J131" s="4">
        <v>1</v>
      </c>
      <c r="K131" s="7">
        <v>1</v>
      </c>
      <c r="L131">
        <v>0</v>
      </c>
      <c r="N131" t="str">
        <f t="shared" ref="N131:N133" si="10">IF(G131="NAKİT", "Kasa", IF(G131="K.K.", "Banka", ""))</f>
        <v/>
      </c>
      <c r="O131" t="str">
        <f t="shared" ref="O131:O133" si="11">IF(N131="Kasa", "TL KASA", IF(N131="Banka", "MEHMET DAŞDEMİR - K.K.", ""))</f>
        <v/>
      </c>
    </row>
    <row r="132" spans="1:15" x14ac:dyDescent="0.25">
      <c r="A132" t="s">
        <v>29</v>
      </c>
      <c r="B132" s="5">
        <v>46205</v>
      </c>
      <c r="D132" s="4" t="s">
        <v>146</v>
      </c>
      <c r="E132" s="4" t="str">
        <f t="shared" si="8"/>
        <v/>
      </c>
      <c r="F132" t="str">
        <f t="shared" si="9"/>
        <v>Nakit</v>
      </c>
      <c r="G132" s="4" t="s">
        <v>45</v>
      </c>
      <c r="H132" t="s">
        <v>31</v>
      </c>
      <c r="I132" s="4" t="s">
        <v>146</v>
      </c>
      <c r="J132" s="4">
        <v>1</v>
      </c>
      <c r="K132" s="7">
        <v>22000</v>
      </c>
      <c r="L132">
        <v>0</v>
      </c>
      <c r="N132" t="str">
        <f t="shared" si="10"/>
        <v/>
      </c>
      <c r="O132" t="str">
        <f t="shared" si="11"/>
        <v/>
      </c>
    </row>
    <row r="133" spans="1:15" x14ac:dyDescent="0.25">
      <c r="A133" t="s">
        <v>29</v>
      </c>
      <c r="B133" s="5">
        <v>46216</v>
      </c>
      <c r="D133" s="4" t="s">
        <v>147</v>
      </c>
      <c r="E133" s="4" t="str">
        <f t="shared" si="8"/>
        <v/>
      </c>
      <c r="F133" t="str">
        <f t="shared" si="9"/>
        <v>Nakit</v>
      </c>
      <c r="G133" s="4" t="s">
        <v>45</v>
      </c>
      <c r="H133" t="s">
        <v>39</v>
      </c>
      <c r="I133" s="4" t="s">
        <v>147</v>
      </c>
      <c r="J133" s="4">
        <v>1</v>
      </c>
      <c r="K133" s="7">
        <v>565</v>
      </c>
      <c r="L133">
        <v>0</v>
      </c>
      <c r="N133" t="str">
        <f t="shared" si="10"/>
        <v/>
      </c>
      <c r="O133" t="str">
        <f t="shared" si="11"/>
        <v/>
      </c>
    </row>
  </sheetData>
  <dataValidations count="1">
    <dataValidation type="list" allowBlank="1" sqref="A2:A1998" xr:uid="{00000000-0002-0000-0100-000000000000}">
      <formula1>"Satış Faturası,Alış Faturası,Satış İade Faturası,Alış İade Faturası,Hizmet Satış Faturası,Hizmet Alış Faturası"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Açıklama</vt:lpstr>
      <vt:lpstr>Fatura İşlemleri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B4 119</cp:lastModifiedBy>
  <dcterms:created xsi:type="dcterms:W3CDTF">2026-08-27T14:33:52Z</dcterms:created>
  <dcterms:modified xsi:type="dcterms:W3CDTF">2026-08-27T16:02:36Z</dcterms:modified>
</cp:coreProperties>
</file>